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45" windowHeight="7620"/>
  </bookViews>
  <sheets>
    <sheet name="Load Detai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/d/yyyy"/>
    <numFmt numFmtId="181" formatCode="&quot;$&quot;#,##0.00"/>
  </numFmts>
  <fonts count="21">
    <font>
      <sz val="11"/>
      <color theme="1"/>
      <name val="Calibri"/>
      <charset val="134"/>
      <scheme val="minor"/>
    </font>
    <font>
      <u/>
      <sz val="11"/>
      <color rgb="FF0000FF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ont="1"/>
    <xf numFmtId="180" fontId="0" fillId="0" borderId="0" xfId="0" applyNumberFormat="1" applyFont="1"/>
    <xf numFmtId="181" fontId="0" fillId="0" borderId="0" xfId="0" applyNumberFormat="1" applyFont="1"/>
    <xf numFmtId="0" fontId="1" fillId="0" borderId="0" xfId="0" applyFont="1"/>
    <xf numFmtId="4" fontId="0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boentes.com/" TargetMode="External"/><Relationship Id="rId2" Type="http://schemas.openxmlformats.org/officeDocument/2006/relationships/hyperlink" Target="https://drive.google.com/drive/u/1/folders/1Yi8-wbHDeUWpNUZy7kIahslQS-EmwJlf" TargetMode="External"/><Relationship Id="rId1" Type="http://schemas.openxmlformats.org/officeDocument/2006/relationships/hyperlink" Target="https://drive.google.com/drive/folders/1MtJHlMA0TQCKupyyGN6MJakVJ74Axfm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Y1000"/>
  <sheetViews>
    <sheetView tabSelected="1" workbookViewId="0">
      <selection activeCell="A1" sqref="A1"/>
    </sheetView>
  </sheetViews>
  <sheetFormatPr defaultColWidth="14.4380952380952" defaultRowHeight="15" customHeight="1"/>
  <sheetData>
    <row r="1" customHeight="1" spans="1:25">
      <c r="A1" s="1" t="str">
        <f>IFERROR(__xludf.DUMMYFUNCTION("IMPORTRANGE(""https://docs.google.com/spreadsheets/d/12bVx1Us-Wx0JcFOsBaRXfZHuUDTO8SCTMdcX1x8lx3o/edit#gid=2104768278"",""load details!A:y"")"),"Row ID")</f>
        <v>Row ID</v>
      </c>
      <c r="B1" s="1" t="str">
        <f>IFERROR(__xludf.DUMMYFUNCTION("""COMPUTED_VALUE"""),"Trans Serial")</f>
        <v>Trans Serial</v>
      </c>
      <c r="C1" s="1" t="str">
        <f>IFERROR(__xludf.DUMMYFUNCTION("""COMPUTED_VALUE"""),"Trans Reference")</f>
        <v>Trans Reference</v>
      </c>
      <c r="D1" s="1" t="str">
        <f>IFERROR(__xludf.DUMMYFUNCTION("""COMPUTED_VALUE"""),"Date of collection")</f>
        <v>Date of collection</v>
      </c>
      <c r="E1" s="1" t="str">
        <f>IFERROR(__xludf.DUMMYFUNCTION("""COMPUTED_VALUE"""),"Client Name")</f>
        <v>Client Name</v>
      </c>
      <c r="F1" s="1" t="str">
        <f>IFERROR(__xludf.DUMMYFUNCTION("""COMPUTED_VALUE"""),"Document Ref")</f>
        <v>Document Ref</v>
      </c>
      <c r="G1" s="1" t="str">
        <f>IFERROR(__xludf.DUMMYFUNCTION("""COMPUTED_VALUE"""),"Goods Description")</f>
        <v>Goods Description</v>
      </c>
      <c r="H1" s="1" t="str">
        <f>IFERROR(__xludf.DUMMYFUNCTION("""COMPUTED_VALUE"""),"Cartons")</f>
        <v>Cartons</v>
      </c>
      <c r="I1" s="1" t="str">
        <f>IFERROR(__xludf.DUMMYFUNCTION("""COMPUTED_VALUE"""),"Upload Commercial Invoice")</f>
        <v>Upload Commercial Invoice</v>
      </c>
      <c r="J1" s="1" t="str">
        <f>IFERROR(__xludf.DUMMYFUNCTION("""COMPUTED_VALUE"""),"Dimensions (Cbm)")</f>
        <v>Dimensions (Cbm)</v>
      </c>
      <c r="K1" s="1" t="str">
        <f>IFERROR(__xludf.DUMMYFUNCTION("""COMPUTED_VALUE"""),"Weight (Kgs)")</f>
        <v>Weight (Kgs)</v>
      </c>
      <c r="L1" s="1" t="str">
        <f>IFERROR(__xludf.DUMMYFUNCTION("""COMPUTED_VALUE"""),"Freight")</f>
        <v>Freight</v>
      </c>
      <c r="M1" s="1" t="str">
        <f>IFERROR(__xludf.DUMMYFUNCTION("""COMPUTED_VALUE"""),"Customs Clearing")</f>
        <v>Customs Clearing</v>
      </c>
      <c r="N1" s="1" t="str">
        <f>IFERROR(__xludf.DUMMYFUNCTION("""COMPUTED_VALUE"""),"Cargo Pick up_Country")</f>
        <v>Cargo Pick up_Country</v>
      </c>
      <c r="O1" s="1" t="str">
        <f>IFERROR(__xludf.DUMMYFUNCTION("""COMPUTED_VALUE"""),"Cargo Pick up_Town")</f>
        <v>Cargo Pick up_Town</v>
      </c>
      <c r="P1" s="1" t="str">
        <f>IFERROR(__xludf.DUMMYFUNCTION("""COMPUTED_VALUE"""),"Cargo Destination_Country")</f>
        <v>Cargo Destination_Country</v>
      </c>
      <c r="Q1" s="1" t="str">
        <f>IFERROR(__xludf.DUMMYFUNCTION("""COMPUTED_VALUE"""),"Cargo Destination_Town")</f>
        <v>Cargo Destination_Town</v>
      </c>
      <c r="R1" s="1" t="str">
        <f>IFERROR(__xludf.DUMMYFUNCTION("""COMPUTED_VALUE"""),"Mode Of Transport")</f>
        <v>Mode Of Transport</v>
      </c>
      <c r="S1" s="1" t="str">
        <f>IFERROR(__xludf.DUMMYFUNCTION("""COMPUTED_VALUE"""),"Terms")</f>
        <v>Terms</v>
      </c>
      <c r="T1" s="1" t="str">
        <f>IFERROR(__xludf.DUMMYFUNCTION("""COMPUTED_VALUE"""),"Shipper")</f>
        <v>Shipper</v>
      </c>
      <c r="U1" s="1" t="str">
        <f>IFERROR(__xludf.DUMMYFUNCTION("""COMPUTED_VALUE"""),"Shipper address")</f>
        <v>Shipper address</v>
      </c>
      <c r="V1" s="1" t="str">
        <f>IFERROR(__xludf.DUMMYFUNCTION("""COMPUTED_VALUE"""),"Shipper email")</f>
        <v>Shipper email</v>
      </c>
      <c r="W1" s="1" t="str">
        <f>IFERROR(__xludf.DUMMYFUNCTION("""COMPUTED_VALUE"""),"Shipper Tel")</f>
        <v>Shipper Tel</v>
      </c>
      <c r="X1" s="1" t="str">
        <f>IFERROR(__xludf.DUMMYFUNCTION("""COMPUTED_VALUE"""),"Special Comments")</f>
        <v>Special Comments</v>
      </c>
      <c r="Y1" s="1"/>
    </row>
    <row r="2" customHeight="1" spans="1:25">
      <c r="A2" s="1" t="str">
        <f>IFERROR(__xludf.DUMMYFUNCTION("""COMPUTED_VALUE"""),"M4PEf_9gZ24X265xFzSbu3")</f>
        <v>M4PEf_9gZ24X265xFzSbu3</v>
      </c>
      <c r="B2" s="1">
        <f>IFERROR(__xludf.DUMMYFUNCTION("""COMPUTED_VALUE"""),1)</f>
        <v>1</v>
      </c>
      <c r="C2" s="1" t="str">
        <f>IFERROR(__xludf.DUMMYFUNCTION("""COMPUTED_VALUE"""),"DL00001")</f>
        <v>DL00001</v>
      </c>
      <c r="D2" s="2">
        <f>IFERROR(__xludf.DUMMYFUNCTION("""COMPUTED_VALUE"""),44869)</f>
        <v>44869</v>
      </c>
      <c r="E2" s="1" t="str">
        <f>IFERROR(__xludf.DUMMYFUNCTION("""COMPUTED_VALUE"""),"Top Tech Catering")</f>
        <v>Top Tech Catering</v>
      </c>
      <c r="F2" s="1" t="str">
        <f>IFERROR(__xludf.DUMMYFUNCTION("""COMPUTED_VALUE"""),"WMA221008ZA")</f>
        <v>WMA221008ZA</v>
      </c>
      <c r="G2" s="1" t="str">
        <f>IFERROR(__xludf.DUMMYFUNCTION("""COMPUTED_VALUE"""),"Catering Equipment")</f>
        <v>Catering Equipment</v>
      </c>
      <c r="H2" s="3">
        <f>IFERROR(__xludf.DUMMYFUNCTION("""COMPUTED_VALUE"""),52869)</f>
        <v>52869</v>
      </c>
      <c r="I2" s="4" t="str">
        <f>IFERROR(__xludf.DUMMYFUNCTION("""COMPUTED_VALUE"""),"https://drive.google.com/drive/folders/1MtJHlMA0TQCKupyyGN6MJakVJ74Axfm0")</f>
        <v>https://drive.google.com/drive/folders/1MtJHlMA0TQCKupyyGN6MJakVJ74Axfm0</v>
      </c>
      <c r="J2" s="1" t="str">
        <f>IFERROR(__xludf.DUMMYFUNCTION("""COMPUTED_VALUE"""),"40HC")</f>
        <v>40HC</v>
      </c>
      <c r="K2" s="5">
        <f>IFERROR(__xludf.DUMMYFUNCTION("""COMPUTED_VALUE"""),6500)</f>
        <v>6500</v>
      </c>
      <c r="L2" s="1" t="str">
        <f>IFERROR(__xludf.DUMMYFUNCTION("""COMPUTED_VALUE"""),"No")</f>
        <v>No</v>
      </c>
      <c r="M2" s="1" t="str">
        <f>IFERROR(__xludf.DUMMYFUNCTION("""COMPUTED_VALUE"""),"Yes")</f>
        <v>Yes</v>
      </c>
      <c r="N2" s="1" t="str">
        <f>IFERROR(__xludf.DUMMYFUNCTION("""COMPUTED_VALUE"""),"China")</f>
        <v>China</v>
      </c>
      <c r="O2" s="1" t="str">
        <f>IFERROR(__xludf.DUMMYFUNCTION("""COMPUTED_VALUE"""),"Guangzhou")</f>
        <v>Guangzhou</v>
      </c>
      <c r="P2" s="1" t="str">
        <f>IFERROR(__xludf.DUMMYFUNCTION("""COMPUTED_VALUE"""),"South Africa")</f>
        <v>South Africa</v>
      </c>
      <c r="Q2" s="1" t="str">
        <f>IFERROR(__xludf.DUMMYFUNCTION("""COMPUTED_VALUE"""),"Midrand")</f>
        <v>Midrand</v>
      </c>
      <c r="R2" s="1" t="str">
        <f>IFERROR(__xludf.DUMMYFUNCTION("""COMPUTED_VALUE"""),"Sea")</f>
        <v>Sea</v>
      </c>
      <c r="S2" s="1" t="str">
        <f>IFERROR(__xludf.DUMMYFUNCTION("""COMPUTED_VALUE"""),"EXW")</f>
        <v>EXW</v>
      </c>
      <c r="T2" s="1" t="str">
        <f>IFERROR(__xludf.DUMMYFUNCTION("""COMPUTED_VALUE"""),"GUANGZHOU WEI GE MACHINERY")</f>
        <v>GUANGZHOU WEI GE MACHINERY</v>
      </c>
      <c r="U2" s="1"/>
      <c r="V2" s="1"/>
      <c r="W2" s="1"/>
      <c r="X2" s="1"/>
      <c r="Y2" s="1"/>
    </row>
    <row r="3" customHeight="1" spans="1:25">
      <c r="A3" s="1" t="str">
        <f>IFERROR(__xludf.DUMMYFUNCTION("""COMPUTED_VALUE"""),"1JXuwpuzal48Am53KcCh08")</f>
        <v>1JXuwpuzal48Am53KcCh08</v>
      </c>
      <c r="B3" s="1">
        <f>IFERROR(__xludf.DUMMYFUNCTION("""COMPUTED_VALUE"""),2)</f>
        <v>2</v>
      </c>
      <c r="C3" s="1" t="str">
        <f>IFERROR(__xludf.DUMMYFUNCTION("""COMPUTED_VALUE"""),"DL00002")</f>
        <v>DL00002</v>
      </c>
      <c r="D3" s="2">
        <f>IFERROR(__xludf.DUMMYFUNCTION("""COMPUTED_VALUE"""),44908)</f>
        <v>44908</v>
      </c>
      <c r="E3" s="1" t="str">
        <f>IFERROR(__xludf.DUMMYFUNCTION("""COMPUTED_VALUE"""),"Top Tech Catering")</f>
        <v>Top Tech Catering</v>
      </c>
      <c r="F3" s="1" t="str">
        <f>IFERROR(__xludf.DUMMYFUNCTION("""COMPUTED_VALUE"""),"CAR/27827-06")</f>
        <v>CAR/27827-06</v>
      </c>
      <c r="G3" s="1" t="str">
        <f>IFERROR(__xludf.DUMMYFUNCTION("""COMPUTED_VALUE"""),"Catering Equipment")</f>
        <v>Catering Equipment</v>
      </c>
      <c r="H3" s="1"/>
      <c r="I3" s="4" t="str">
        <f>IFERROR(__xludf.DUMMYFUNCTION("""COMPUTED_VALUE"""),"https://drive.google.com/drive/u/1/folders/1Yi8-wbHDeUWpNUZy7kIahslQS-EmwJlf")</f>
        <v>https://drive.google.com/drive/u/1/folders/1Yi8-wbHDeUWpNUZy7kIahslQS-EmwJlf</v>
      </c>
      <c r="J3" s="1">
        <f>IFERROR(__xludf.DUMMYFUNCTION("""COMPUTED_VALUE"""),0.6)</f>
        <v>0.6</v>
      </c>
      <c r="K3" s="1">
        <f>IFERROR(__xludf.DUMMYFUNCTION("""COMPUTED_VALUE"""),213)</f>
        <v>213</v>
      </c>
      <c r="L3" s="1"/>
      <c r="M3" s="1"/>
      <c r="N3" s="1" t="str">
        <f>IFERROR(__xludf.DUMMYFUNCTION("""COMPUTED_VALUE"""),"China")</f>
        <v>China</v>
      </c>
      <c r="O3" s="1" t="str">
        <f>IFERROR(__xludf.DUMMYFUNCTION("""COMPUTED_VALUE"""),"Guangzhou")</f>
        <v>Guangzhou</v>
      </c>
      <c r="P3" s="1" t="str">
        <f>IFERROR(__xludf.DUMMYFUNCTION("""COMPUTED_VALUE"""),"South Africa")</f>
        <v>South Africa</v>
      </c>
      <c r="Q3" s="1" t="str">
        <f>IFERROR(__xludf.DUMMYFUNCTION("""COMPUTED_VALUE"""),"Midrand")</f>
        <v>Midrand</v>
      </c>
      <c r="R3" s="1" t="str">
        <f>IFERROR(__xludf.DUMMYFUNCTION("""COMPUTED_VALUE"""),"Sea")</f>
        <v>Sea</v>
      </c>
      <c r="S3" s="1" t="str">
        <f>IFERROR(__xludf.DUMMYFUNCTION("""COMPUTED_VALUE"""),"EXW")</f>
        <v>EXW</v>
      </c>
      <c r="T3" s="1" t="str">
        <f>IFERROR(__xludf.DUMMYFUNCTION("""COMPUTED_VALUE"""),"GUANGZHOU WEI GE MACHINERY")</f>
        <v>GUANGZHOU WEI GE MACHINERY</v>
      </c>
      <c r="U3" s="1"/>
      <c r="V3" s="1"/>
      <c r="W3" s="1"/>
      <c r="X3" s="1"/>
      <c r="Y3" s="1"/>
    </row>
    <row r="4" customHeight="1" spans="1:25">
      <c r="A4" s="1" t="str">
        <f>IFERROR(__xludf.DUMMYFUNCTION("""COMPUTED_VALUE"""),"s7x7nm2Z-x4e6SX_0KkeAf")</f>
        <v>s7x7nm2Z-x4e6SX_0KkeAf</v>
      </c>
      <c r="B4" s="1">
        <f>IFERROR(__xludf.DUMMYFUNCTION("""COMPUTED_VALUE"""),3)</f>
        <v>3</v>
      </c>
      <c r="C4" s="1" t="str">
        <f>IFERROR(__xludf.DUMMYFUNCTION("""COMPUTED_VALUE"""),"DL00003")</f>
        <v>DL00003</v>
      </c>
      <c r="D4" s="2">
        <f>IFERROR(__xludf.DUMMYFUNCTION("""COMPUTED_VALUE"""),44913)</f>
        <v>44913</v>
      </c>
      <c r="E4" s="1" t="str">
        <f>IFERROR(__xludf.DUMMYFUNCTION("""COMPUTED_VALUE"""),"Mavhuso Baloyi")</f>
        <v>Mavhuso Baloyi</v>
      </c>
      <c r="F4" s="1" t="str">
        <f>IFERROR(__xludf.DUMMYFUNCTION("""COMPUTED_VALUE"""),"XRBK20221014")</f>
        <v>XRBK20221014</v>
      </c>
      <c r="G4" s="1" t="str">
        <f>IFERROR(__xludf.DUMMYFUNCTION("""COMPUTED_VALUE"""),"Lower limb trainer and standing frame")</f>
        <v>Lower limb trainer and standing frame</v>
      </c>
      <c r="H4" s="3">
        <f>IFERROR(__xludf.DUMMYFUNCTION("""COMPUTED_VALUE"""),782)</f>
        <v>782</v>
      </c>
      <c r="I4" s="1"/>
      <c r="J4" s="1">
        <f>IFERROR(__xludf.DUMMYFUNCTION("""COMPUTED_VALUE"""),1.37)</f>
        <v>1.37</v>
      </c>
      <c r="K4" s="1">
        <f>IFERROR(__xludf.DUMMYFUNCTION("""COMPUTED_VALUE"""),155)</f>
        <v>155</v>
      </c>
      <c r="L4" s="1"/>
      <c r="M4" s="1"/>
      <c r="N4" s="1" t="str">
        <f>IFERROR(__xludf.DUMMYFUNCTION("""COMPUTED_VALUE"""),"China")</f>
        <v>China</v>
      </c>
      <c r="O4" s="1" t="str">
        <f>IFERROR(__xludf.DUMMYFUNCTION("""COMPUTED_VALUE"""),"Shenzhen")</f>
        <v>Shenzhen</v>
      </c>
      <c r="P4" s="1" t="str">
        <f>IFERROR(__xludf.DUMMYFUNCTION("""COMPUTED_VALUE"""),"South Africa")</f>
        <v>South Africa</v>
      </c>
      <c r="Q4" s="1" t="str">
        <f>IFERROR(__xludf.DUMMYFUNCTION("""COMPUTED_VALUE"""),"Kempton Park")</f>
        <v>Kempton Park</v>
      </c>
      <c r="R4" s="1" t="str">
        <f>IFERROR(__xludf.DUMMYFUNCTION("""COMPUTED_VALUE"""),"Sea")</f>
        <v>Sea</v>
      </c>
      <c r="S4" s="1" t="str">
        <f>IFERROR(__xludf.DUMMYFUNCTION("""COMPUTED_VALUE"""),"FOB")</f>
        <v>FOB</v>
      </c>
      <c r="T4" s="1" t="str">
        <f>IFERROR(__xludf.DUMMYFUNCTION("""COMPUTED_VALUE"""),"SHENZHEN LUCKY LOGISTICS LTD")</f>
        <v>SHENZHEN LUCKY LOGISTICS LTD</v>
      </c>
      <c r="U4" s="1"/>
      <c r="V4" s="1"/>
      <c r="W4" s="1"/>
      <c r="X4" s="1"/>
      <c r="Y4" s="1"/>
    </row>
    <row r="5" customHeight="1" spans="1:25">
      <c r="A5" s="1" t="str">
        <f>IFERROR(__xludf.DUMMYFUNCTION("""COMPUTED_VALUE"""),"ddsSwkeXOS4nUrWM8-Kx_5")</f>
        <v>ddsSwkeXOS4nUrWM8-Kx_5</v>
      </c>
      <c r="B5" s="1">
        <f>IFERROR(__xludf.DUMMYFUNCTION("""COMPUTED_VALUE"""),4)</f>
        <v>4</v>
      </c>
      <c r="C5" s="1" t="str">
        <f>IFERROR(__xludf.DUMMYFUNCTION("""COMPUTED_VALUE"""),"DL00004")</f>
        <v>DL00004</v>
      </c>
      <c r="D5" s="1"/>
      <c r="E5" s="1" t="str">
        <f>IFERROR(__xludf.DUMMYFUNCTION("""COMPUTED_VALUE"""),"Tania Kabeya")</f>
        <v>Tania Kabeya</v>
      </c>
      <c r="F5" s="1">
        <f>IFERROR(__xludf.DUMMYFUNCTION("""COMPUTED_VALUE"""),5534)</f>
        <v>5534</v>
      </c>
      <c r="G5" s="1" t="str">
        <f>IFERROR(__xludf.DUMMYFUNCTION("""COMPUTED_VALUE"""),"PP Food container/ Plastic trays/ Plastic flim")</f>
        <v>PP Food container/ Plastic trays/ Plastic flim</v>
      </c>
      <c r="H5" s="3">
        <f>IFERROR(__xludf.DUMMYFUNCTION("""COMPUTED_VALUE"""),852.5)</f>
        <v>852.5</v>
      </c>
      <c r="I5" s="1"/>
      <c r="J5" s="1">
        <f>IFERROR(__xludf.DUMMYFUNCTION("""COMPUTED_VALUE"""),3)</f>
        <v>3</v>
      </c>
      <c r="K5" s="1">
        <f>IFERROR(__xludf.DUMMYFUNCTION("""COMPUTED_VALUE"""),393.2)</f>
        <v>393.2</v>
      </c>
      <c r="L5" s="1"/>
      <c r="M5" s="1"/>
      <c r="N5" s="1" t="str">
        <f>IFERROR(__xludf.DUMMYFUNCTION("""COMPUTED_VALUE"""),"Hong Kong")</f>
        <v>Hong Kong</v>
      </c>
      <c r="O5" s="1" t="str">
        <f>IFERROR(__xludf.DUMMYFUNCTION("""COMPUTED_VALUE"""),"Wan Chai")</f>
        <v>Wan Chai</v>
      </c>
      <c r="P5" s="1" t="str">
        <f>IFERROR(__xludf.DUMMYFUNCTION("""COMPUTED_VALUE"""),"South Africa")</f>
        <v>South Africa</v>
      </c>
      <c r="Q5" s="1" t="str">
        <f>IFERROR(__xludf.DUMMYFUNCTION("""COMPUTED_VALUE"""),"Midrand")</f>
        <v>Midrand</v>
      </c>
      <c r="R5" s="1" t="str">
        <f>IFERROR(__xludf.DUMMYFUNCTION("""COMPUTED_VALUE"""),"Sea")</f>
        <v>Sea</v>
      </c>
      <c r="S5" s="1" t="str">
        <f>IFERROR(__xludf.DUMMYFUNCTION("""COMPUTED_VALUE"""),"EXW")</f>
        <v>EXW</v>
      </c>
      <c r="T5" s="1" t="str">
        <f>IFERROR(__xludf.DUMMYFUNCTION("""COMPUTED_VALUE"""),"YANG RUI INDUSTRY LTD")</f>
        <v>YANG RUI INDUSTRY LTD</v>
      </c>
      <c r="U5" s="1"/>
      <c r="V5" s="1"/>
      <c r="W5" s="1"/>
      <c r="X5" s="1"/>
      <c r="Y5" s="1"/>
    </row>
    <row r="6" customHeight="1" spans="1:25">
      <c r="A6" s="1" t="str">
        <f>IFERROR(__xludf.DUMMYFUNCTION("""COMPUTED_VALUE"""),"CTnDdEbMS84KuOvo_69hc0")</f>
        <v>CTnDdEbMS84KuOvo_69hc0</v>
      </c>
      <c r="B6" s="1">
        <f>IFERROR(__xludf.DUMMYFUNCTION("""COMPUTED_VALUE"""),5)</f>
        <v>5</v>
      </c>
      <c r="C6" s="1" t="str">
        <f>IFERROR(__xludf.DUMMYFUNCTION("""COMPUTED_VALUE"""),"DL00005")</f>
        <v>DL00005</v>
      </c>
      <c r="D6" s="2">
        <f>IFERROR(__xludf.DUMMYFUNCTION("""COMPUTED_VALUE"""),44918)</f>
        <v>44918</v>
      </c>
      <c r="E6" s="1" t="str">
        <f>IFERROR(__xludf.DUMMYFUNCTION("""COMPUTED_VALUE"""),"Bryan")</f>
        <v>Bryan</v>
      </c>
      <c r="F6" s="1">
        <f>IFERROR(__xludf.DUMMYFUNCTION("""COMPUTED_VALUE"""),7340233703)</f>
        <v>7340233703</v>
      </c>
      <c r="G6" s="1" t="str">
        <f>IFERROR(__xludf.DUMMYFUNCTION("""COMPUTED_VALUE"""),"Urine Analyser")</f>
        <v>Urine Analyser</v>
      </c>
      <c r="H6" s="3">
        <f>IFERROR(__xludf.DUMMYFUNCTION("""COMPUTED_VALUE"""),198)</f>
        <v>198</v>
      </c>
      <c r="I6" s="1"/>
      <c r="J6" s="1">
        <f>IFERROR(__xludf.DUMMYFUNCTION("""COMPUTED_VALUE"""),0.0509)</f>
        <v>0.0509</v>
      </c>
      <c r="K6" s="1">
        <f>IFERROR(__xludf.DUMMYFUNCTION("""COMPUTED_VALUE"""),10)</f>
        <v>10</v>
      </c>
      <c r="L6" s="1"/>
      <c r="M6" s="1"/>
      <c r="N6" s="1" t="str">
        <f>IFERROR(__xludf.DUMMYFUNCTION("""COMPUTED_VALUE"""),"Hong Kong")</f>
        <v>Hong Kong</v>
      </c>
      <c r="O6" s="1" t="str">
        <f>IFERROR(__xludf.DUMMYFUNCTION("""COMPUTED_VALUE"""),"Kwai Chung")</f>
        <v>Kwai Chung</v>
      </c>
      <c r="P6" s="1" t="str">
        <f>IFERROR(__xludf.DUMMYFUNCTION("""COMPUTED_VALUE"""),"South Africa")</f>
        <v>South Africa</v>
      </c>
      <c r="Q6" s="1" t="str">
        <f>IFERROR(__xludf.DUMMYFUNCTION("""COMPUTED_VALUE"""),"Kempton Park")</f>
        <v>Kempton Park</v>
      </c>
      <c r="R6" s="1" t="str">
        <f>IFERROR(__xludf.DUMMYFUNCTION("""COMPUTED_VALUE"""),"Sea")</f>
        <v>Sea</v>
      </c>
      <c r="S6" s="1" t="str">
        <f>IFERROR(__xludf.DUMMYFUNCTION("""COMPUTED_VALUE"""),"FCA")</f>
        <v>FCA</v>
      </c>
      <c r="T6" s="1" t="str">
        <f>IFERROR(__xludf.DUMMYFUNCTION("""COMPUTED_VALUE"""),"DACHENG SUPPLY CHAIN")</f>
        <v>DACHENG SUPPLY CHAIN</v>
      </c>
      <c r="U6" s="1"/>
      <c r="V6" s="1"/>
      <c r="W6" s="1"/>
      <c r="X6" s="1"/>
      <c r="Y6" s="1"/>
    </row>
    <row r="7" customHeight="1" spans="1:25">
      <c r="A7" s="1" t="str">
        <f>IFERROR(__xludf.DUMMYFUNCTION("""COMPUTED_VALUE"""),"u-5-Gjsces4viSQBSHcFf9")</f>
        <v>u-5-Gjsces4viSQBSHcFf9</v>
      </c>
      <c r="B7" s="1">
        <f>IFERROR(__xludf.DUMMYFUNCTION("""COMPUTED_VALUE"""),6)</f>
        <v>6</v>
      </c>
      <c r="C7" s="1" t="str">
        <f>IFERROR(__xludf.DUMMYFUNCTION("""COMPUTED_VALUE"""),"DL00006")</f>
        <v>DL00006</v>
      </c>
      <c r="D7" s="2">
        <f>IFERROR(__xludf.DUMMYFUNCTION("""COMPUTED_VALUE"""),44924)</f>
        <v>44924</v>
      </c>
      <c r="E7" s="1" t="str">
        <f>IFERROR(__xludf.DUMMYFUNCTION("""COMPUTED_VALUE"""),"African Technopreneurs")</f>
        <v>African Technopreneurs</v>
      </c>
      <c r="F7" s="1">
        <f>IFERROR(__xludf.DUMMYFUNCTION("""COMPUTED_VALUE"""),392795971521)</f>
        <v>392795971521</v>
      </c>
      <c r="G7" s="1" t="str">
        <f>IFERROR(__xludf.DUMMYFUNCTION("""COMPUTED_VALUE"""),"Optical fibre cables")</f>
        <v>Optical fibre cables</v>
      </c>
      <c r="H7" s="3">
        <f>IFERROR(__xludf.DUMMYFUNCTION("""COMPUTED_VALUE"""),2559)</f>
        <v>2559</v>
      </c>
      <c r="I7" s="1"/>
      <c r="J7" s="1"/>
      <c r="K7" s="1">
        <f>IFERROR(__xludf.DUMMYFUNCTION("""COMPUTED_VALUE"""),5.39)</f>
        <v>5.39</v>
      </c>
      <c r="L7" s="1"/>
      <c r="M7" s="1"/>
      <c r="N7" s="1" t="str">
        <f>IFERROR(__xludf.DUMMYFUNCTION("""COMPUTED_VALUE"""),"Hong Kong")</f>
        <v>Hong Kong</v>
      </c>
      <c r="O7" s="1" t="str">
        <f>IFERROR(__xludf.DUMMYFUNCTION("""COMPUTED_VALUE"""),"Kowloon")</f>
        <v>Kowloon</v>
      </c>
      <c r="P7" s="1" t="str">
        <f>IFERROR(__xludf.DUMMYFUNCTION("""COMPUTED_VALUE"""),"South Africa")</f>
        <v>South Africa</v>
      </c>
      <c r="Q7" s="1" t="str">
        <f>IFERROR(__xludf.DUMMYFUNCTION("""COMPUTED_VALUE"""),"Centurion")</f>
        <v>Centurion</v>
      </c>
      <c r="R7" s="1" t="str">
        <f>IFERROR(__xludf.DUMMYFUNCTION("""COMPUTED_VALUE"""),"Air")</f>
        <v>Air</v>
      </c>
      <c r="S7" s="1" t="str">
        <f>IFERROR(__xludf.DUMMYFUNCTION("""COMPUTED_VALUE"""),"FOB")</f>
        <v>FOB</v>
      </c>
      <c r="T7" s="1" t="str">
        <f>IFERROR(__xludf.DUMMYFUNCTION("""COMPUTED_VALUE"""),"TANG LANHUI")</f>
        <v>TANG LANHUI</v>
      </c>
      <c r="U7" s="1"/>
      <c r="V7" s="1"/>
      <c r="W7" s="1"/>
      <c r="X7" s="1"/>
      <c r="Y7" s="1"/>
    </row>
    <row r="8" customHeight="1" spans="1:25">
      <c r="A8" s="1" t="str">
        <f>IFERROR(__xludf.DUMMYFUNCTION("""COMPUTED_VALUE"""),"ATtXBRmacH4zY38ME-RyQ9")</f>
        <v>ATtXBRmacH4zY38ME-RyQ9</v>
      </c>
      <c r="B8" s="1">
        <f>IFERROR(__xludf.DUMMYFUNCTION("""COMPUTED_VALUE"""),7)</f>
        <v>7</v>
      </c>
      <c r="C8" s="1" t="str">
        <f>IFERROR(__xludf.DUMMYFUNCTION("""COMPUTED_VALUE"""),"DL00007")</f>
        <v>DL00007</v>
      </c>
      <c r="D8" s="1"/>
      <c r="E8" s="1" t="str">
        <f>IFERROR(__xludf.DUMMYFUNCTION("""COMPUTED_VALUE"""),"LCS Engineering")</f>
        <v>LCS Engineering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customHeight="1" spans="1:25">
      <c r="A9" s="1" t="str">
        <f>IFERROR(__xludf.DUMMYFUNCTION("""COMPUTED_VALUE"""),"wPmGG02ONb4qmJxpZS4Qff")</f>
        <v>wPmGG02ONb4qmJxpZS4Qff</v>
      </c>
      <c r="B9" s="1">
        <f>IFERROR(__xludf.DUMMYFUNCTION("""COMPUTED_VALUE"""),8)</f>
        <v>8</v>
      </c>
      <c r="C9" s="1" t="str">
        <f>IFERROR(__xludf.DUMMYFUNCTION("""COMPUTED_VALUE"""),"DL00008")</f>
        <v>DL00008</v>
      </c>
      <c r="D9" s="2">
        <f>IFERROR(__xludf.DUMMYFUNCTION("""COMPUTED_VALUE"""),44952)</f>
        <v>44952</v>
      </c>
      <c r="E9" s="1" t="str">
        <f>IFERROR(__xludf.DUMMYFUNCTION("""COMPUTED_VALUE"""),"Edward Kriel")</f>
        <v>Edward Kriel</v>
      </c>
      <c r="F9" s="1" t="str">
        <f>IFERROR(__xludf.DUMMYFUNCTION("""COMPUTED_VALUE"""),"23SZJ0121ZA")</f>
        <v>23SZJ0121ZA</v>
      </c>
      <c r="G9" s="1" t="str">
        <f>IFERROR(__xludf.DUMMYFUNCTION("""COMPUTED_VALUE"""),"Lift platform/Landing door")</f>
        <v>Lift platform/Landing door</v>
      </c>
      <c r="H9" s="3">
        <f>IFERROR(__xludf.DUMMYFUNCTION("""COMPUTED_VALUE"""),6004)</f>
        <v>6004</v>
      </c>
      <c r="I9" s="1"/>
      <c r="J9" s="1">
        <f>IFERROR(__xludf.DUMMYFUNCTION("""COMPUTED_VALUE"""),5.25)</f>
        <v>5.25</v>
      </c>
      <c r="K9" s="1">
        <f>IFERROR(__xludf.DUMMYFUNCTION("""COMPUTED_VALUE"""),800)</f>
        <v>800</v>
      </c>
      <c r="L9" s="1"/>
      <c r="M9" s="1" t="str">
        <f>IFERROR(__xludf.DUMMYFUNCTION("""COMPUTED_VALUE"""),"Yes")</f>
        <v>Yes</v>
      </c>
      <c r="N9" s="1" t="str">
        <f>IFERROR(__xludf.DUMMYFUNCTION("""COMPUTED_VALUE"""),"China")</f>
        <v>China</v>
      </c>
      <c r="O9" s="1" t="str">
        <f>IFERROR(__xludf.DUMMYFUNCTION("""COMPUTED_VALUE"""),"Qingdao")</f>
        <v>Qingdao</v>
      </c>
      <c r="P9" s="1" t="str">
        <f>IFERROR(__xludf.DUMMYFUNCTION("""COMPUTED_VALUE"""),"South Africa")</f>
        <v>South Africa</v>
      </c>
      <c r="Q9" s="1" t="str">
        <f>IFERROR(__xludf.DUMMYFUNCTION("""COMPUTED_VALUE"""),"Cape Town")</f>
        <v>Cape Town</v>
      </c>
      <c r="R9" s="1" t="str">
        <f>IFERROR(__xludf.DUMMYFUNCTION("""COMPUTED_VALUE"""),"Sea")</f>
        <v>Sea</v>
      </c>
      <c r="S9" s="1" t="str">
        <f>IFERROR(__xludf.DUMMYFUNCTION("""COMPUTED_VALUE"""),"FOB")</f>
        <v>FOB</v>
      </c>
      <c r="T9" s="1" t="str">
        <f>IFERROR(__xludf.DUMMYFUNCTION("""COMPUTED_VALUE"""),"MORN LIFT")</f>
        <v>MORN LIFT</v>
      </c>
      <c r="U9" s="1"/>
      <c r="V9" s="1"/>
      <c r="W9" s="1"/>
      <c r="X9" s="1"/>
      <c r="Y9" s="1"/>
    </row>
    <row r="10" customHeight="1" spans="1:25">
      <c r="A10" s="1" t="str">
        <f>IFERROR(__xludf.DUMMYFUNCTION("""COMPUTED_VALUE"""),"fFxFhNkJog40M3g-IJmznd")</f>
        <v>fFxFhNkJog40M3g-IJmznd</v>
      </c>
      <c r="B10" s="1">
        <f>IFERROR(__xludf.DUMMYFUNCTION("""COMPUTED_VALUE"""),9)</f>
        <v>9</v>
      </c>
      <c r="C10" s="1" t="str">
        <f>IFERROR(__xludf.DUMMYFUNCTION("""COMPUTED_VALUE"""),"DL00009")</f>
        <v>DL00009</v>
      </c>
      <c r="D10" s="2">
        <f>IFERROR(__xludf.DUMMYFUNCTION("""COMPUTED_VALUE"""),44939)</f>
        <v>44939</v>
      </c>
      <c r="E10" s="1" t="str">
        <f>IFERROR(__xludf.DUMMYFUNCTION("""COMPUTED_VALUE"""),"Shaflynn Herman")</f>
        <v>Shaflynn Herman</v>
      </c>
      <c r="F10" s="1"/>
      <c r="G10" s="1" t="str">
        <f>IFERROR(__xludf.DUMMYFUNCTION("""COMPUTED_VALUE"""),"watches")</f>
        <v>watches</v>
      </c>
      <c r="H10" s="3">
        <f>IFERROR(__xludf.DUMMYFUNCTION("""COMPUTED_VALUE"""),100)</f>
        <v>100</v>
      </c>
      <c r="I10" s="1"/>
      <c r="J10" s="1">
        <f>IFERROR(__xludf.DUMMYFUNCTION("""COMPUTED_VALUE"""),0.027)</f>
        <v>0.027</v>
      </c>
      <c r="K10" s="1">
        <f>IFERROR(__xludf.DUMMYFUNCTION("""COMPUTED_VALUE"""),0.1)</f>
        <v>0.1</v>
      </c>
      <c r="L10" s="1"/>
      <c r="M10" s="1"/>
      <c r="N10" s="1" t="str">
        <f>IFERROR(__xludf.DUMMYFUNCTION("""COMPUTED_VALUE"""),"China")</f>
        <v>China</v>
      </c>
      <c r="O10" s="1"/>
      <c r="P10" s="1" t="str">
        <f>IFERROR(__xludf.DUMMYFUNCTION("""COMPUTED_VALUE"""),"South Africa")</f>
        <v>South Africa</v>
      </c>
      <c r="Q10" s="1" t="str">
        <f>IFERROR(__xludf.DUMMYFUNCTION("""COMPUTED_VALUE"""),"Cape Town")</f>
        <v>Cape Town</v>
      </c>
      <c r="R10" s="1" t="str">
        <f>IFERROR(__xludf.DUMMYFUNCTION("""COMPUTED_VALUE"""),"Sea")</f>
        <v>Sea</v>
      </c>
      <c r="S10" s="1"/>
      <c r="T10" s="1"/>
      <c r="U10" s="1"/>
      <c r="V10" s="1"/>
      <c r="W10" s="1"/>
      <c r="X10" s="1"/>
      <c r="Y10" s="1"/>
    </row>
    <row r="11" customHeight="1" spans="1:25">
      <c r="A11" s="1" t="str">
        <f>IFERROR(__xludf.DUMMYFUNCTION("""COMPUTED_VALUE"""),"KXaMyT8KJM4YQv5M4A9dG4")</f>
        <v>KXaMyT8KJM4YQv5M4A9dG4</v>
      </c>
      <c r="B11" s="1">
        <f>IFERROR(__xludf.DUMMYFUNCTION("""COMPUTED_VALUE"""),10)</f>
        <v>10</v>
      </c>
      <c r="C11" s="1" t="str">
        <f>IFERROR(__xludf.DUMMYFUNCTION("""COMPUTED_VALUE"""),"DL10")</f>
        <v>DL10</v>
      </c>
      <c r="D11" s="2">
        <f>IFERROR(__xludf.DUMMYFUNCTION("""COMPUTED_VALUE"""),44942)</f>
        <v>44942</v>
      </c>
      <c r="E11" s="1" t="str">
        <f>IFERROR(__xludf.DUMMYFUNCTION("""COMPUTED_VALUE"""),"Jeanette Tshabalala")</f>
        <v>Jeanette Tshabalala</v>
      </c>
      <c r="F11" s="1">
        <f>IFERROR(__xludf.DUMMYFUNCTION("""COMPUTED_VALUE"""),4)</f>
        <v>4</v>
      </c>
      <c r="G11" s="1" t="str">
        <f>IFERROR(__xludf.DUMMYFUNCTION("""COMPUTED_VALUE"""),"Clothes")</f>
        <v>Clothes</v>
      </c>
      <c r="H11" s="1"/>
      <c r="I11" s="1"/>
      <c r="J11" s="1">
        <f>IFERROR(__xludf.DUMMYFUNCTION("""COMPUTED_VALUE"""),0.6)</f>
        <v>0.6</v>
      </c>
      <c r="K11" s="1"/>
      <c r="L11" s="1"/>
      <c r="M11" s="1"/>
      <c r="N11" s="1" t="str">
        <f>IFERROR(__xludf.DUMMYFUNCTION("""COMPUTED_VALUE"""),"china")</f>
        <v>china</v>
      </c>
      <c r="O11" s="1" t="str">
        <f>IFERROR(__xludf.DUMMYFUNCTION("""COMPUTED_VALUE"""),"Guangzhou")</f>
        <v>Guangzhou</v>
      </c>
      <c r="P11" s="1"/>
      <c r="Q11" s="1"/>
      <c r="R11" s="1" t="str">
        <f>IFERROR(__xludf.DUMMYFUNCTION("""COMPUTED_VALUE"""),"Sea")</f>
        <v>Sea</v>
      </c>
      <c r="S11" s="1" t="str">
        <f>IFERROR(__xludf.DUMMYFUNCTION("""COMPUTED_VALUE"""),"FOB")</f>
        <v>FOB</v>
      </c>
      <c r="T11" s="1" t="str">
        <f>IFERROR(__xludf.DUMMYFUNCTION("""COMPUTED_VALUE"""),"Weizhei etd")</f>
        <v>Weizhei etd</v>
      </c>
      <c r="U11" s="1"/>
      <c r="V11" s="1"/>
      <c r="W11" s="1"/>
      <c r="X11" s="1"/>
      <c r="Y11" s="1"/>
    </row>
    <row r="12" customHeight="1" spans="1:25">
      <c r="A12" s="1" t="str">
        <f>IFERROR(__xludf.DUMMYFUNCTION("""COMPUTED_VALUE"""),"ptUD8qMVSj4MaxkWVLvQ00")</f>
        <v>ptUD8qMVSj4MaxkWVLvQ00</v>
      </c>
      <c r="B12" s="1">
        <f>IFERROR(__xludf.DUMMYFUNCTION("""COMPUTED_VALUE"""),11)</f>
        <v>11</v>
      </c>
      <c r="C12" s="1" t="str">
        <f>IFERROR(__xludf.DUMMYFUNCTION("""COMPUTED_VALUE"""),"DL11")</f>
        <v>DL11</v>
      </c>
      <c r="D12" s="2">
        <f>IFERROR(__xludf.DUMMYFUNCTION("""COMPUTED_VALUE"""),45024)</f>
        <v>45024</v>
      </c>
      <c r="E12" s="1" t="str">
        <f>IFERROR(__xludf.DUMMYFUNCTION("""COMPUTED_VALUE"""),"Cristo Hueyser")</f>
        <v>Cristo Hueyser</v>
      </c>
      <c r="F12" s="1">
        <f>IFERROR(__xludf.DUMMYFUNCTION("""COMPUTED_VALUE"""),10)</f>
        <v>10</v>
      </c>
      <c r="G12" s="1" t="str">
        <f>IFERROR(__xludf.DUMMYFUNCTION("""COMPUTED_VALUE"""),"Clothes")</f>
        <v>Clothes</v>
      </c>
      <c r="H12" s="1"/>
      <c r="I12" s="1"/>
      <c r="J12" s="1" t="str">
        <f>IFERROR(__xludf.DUMMYFUNCTION("""COMPUTED_VALUE"""),"1")</f>
        <v>1</v>
      </c>
      <c r="K12" s="1"/>
      <c r="L12" s="1" t="str">
        <f>IFERROR(__xludf.DUMMYFUNCTION("""COMPUTED_VALUE"""),"Yes")</f>
        <v>Yes</v>
      </c>
      <c r="M12" s="1" t="str">
        <f>IFERROR(__xludf.DUMMYFUNCTION("""COMPUTED_VALUE"""),"Yes")</f>
        <v>Yes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customHeight="1" spans="1: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customHeight="1" spans="1:25">
      <c r="A14" s="1" t="str">
        <f>IFERROR(__xludf.DUMMYFUNCTION("""COMPUTED_VALUE"""),"Fl8mFP7bHAIxBxMVJXT2fr")</f>
        <v>Fl8mFP7bHAIxBxMVJXT2fr</v>
      </c>
      <c r="B14" s="1">
        <f>IFERROR(__xludf.DUMMYFUNCTION("""COMPUTED_VALUE"""),13)</f>
        <v>13</v>
      </c>
      <c r="C14" s="1" t="str">
        <f>IFERROR(__xludf.DUMMYFUNCTION("""COMPUTED_VALUE"""),"DL13")</f>
        <v>DL13</v>
      </c>
      <c r="D14" s="2">
        <f>IFERROR(__xludf.DUMMYFUNCTION("""COMPUTED_VALUE"""),45091)</f>
        <v>45091</v>
      </c>
      <c r="E14" s="1" t="str">
        <f>IFERROR(__xludf.DUMMYFUNCTION("""COMPUTED_VALUE"""),"Indi &amp; Oak")</f>
        <v>Indi &amp; Oak</v>
      </c>
      <c r="F14" s="1" t="str">
        <f>IFERROR(__xludf.DUMMYFUNCTION("""COMPUTED_VALUE"""),"49")</f>
        <v>49</v>
      </c>
      <c r="G14" s="1" t="str">
        <f>IFERROR(__xludf.DUMMYFUNCTION("""COMPUTED_VALUE"""),"faux leather")</f>
        <v>faux leather</v>
      </c>
      <c r="H14" s="1">
        <f>IFERROR(__xludf.DUMMYFUNCTION("""COMPUTED_VALUE"""),59)</f>
        <v>59</v>
      </c>
      <c r="I14" s="1"/>
      <c r="J14" s="1" t="str">
        <f>IFERROR(__xludf.DUMMYFUNCTION("""COMPUTED_VALUE"""),"2.5")</f>
        <v>2.5</v>
      </c>
      <c r="K14" s="1">
        <f>IFERROR(__xludf.DUMMYFUNCTION("""COMPUTED_VALUE"""),960)</f>
        <v>960</v>
      </c>
      <c r="L14" s="1" t="str">
        <f>IFERROR(__xludf.DUMMYFUNCTION("""COMPUTED_VALUE"""),"Yes")</f>
        <v>Yes</v>
      </c>
      <c r="M14" s="1" t="str">
        <f>IFERROR(__xludf.DUMMYFUNCTION("""COMPUTED_VALUE"""),"Yes")</f>
        <v>Yes</v>
      </c>
      <c r="N14" s="1" t="str">
        <f>IFERROR(__xludf.DUMMYFUNCTION("""COMPUTED_VALUE"""),"China")</f>
        <v>China</v>
      </c>
      <c r="O14" s="1" t="str">
        <f>IFERROR(__xludf.DUMMYFUNCTION("""COMPUTED_VALUE"""),"Guangzhou")</f>
        <v>Guangzhou</v>
      </c>
      <c r="P14" s="1" t="str">
        <f>IFERROR(__xludf.DUMMYFUNCTION("""COMPUTED_VALUE"""),"South Africa")</f>
        <v>South Africa</v>
      </c>
      <c r="Q14" s="1" t="str">
        <f>IFERROR(__xludf.DUMMYFUNCTION("""COMPUTED_VALUE"""),"Johannesburg")</f>
        <v>Johannesburg</v>
      </c>
      <c r="R14" s="1" t="str">
        <f>IFERROR(__xludf.DUMMYFUNCTION("""COMPUTED_VALUE"""),"Sea")</f>
        <v>Sea</v>
      </c>
      <c r="S14" s="1" t="str">
        <f>IFERROR(__xludf.DUMMYFUNCTION("""COMPUTED_VALUE"""),"FCA")</f>
        <v>FCA</v>
      </c>
      <c r="T14" s="1" t="str">
        <f>IFERROR(__xludf.DUMMYFUNCTION("""COMPUTED_VALUE"""),"Jinhua Zhengchen Network Technology Co., Ltd.")</f>
        <v>Jinhua Zhengchen Network Technology Co., Ltd.</v>
      </c>
      <c r="U14" s="1"/>
      <c r="V14" s="1"/>
      <c r="W14" s="1"/>
      <c r="X14" s="1"/>
      <c r="Y14" s="1"/>
    </row>
    <row r="15" customHeight="1" spans="1:25">
      <c r="A15" s="1" t="str">
        <f>IFERROR(__xludf.DUMMYFUNCTION("""COMPUTED_VALUE"""),"GWF4mUliW97JOJ95YhaWnW")</f>
        <v>GWF4mUliW97JOJ95YhaWnW</v>
      </c>
      <c r="B15" s="1">
        <f>IFERROR(__xludf.DUMMYFUNCTION("""COMPUTED_VALUE"""),14)</f>
        <v>14</v>
      </c>
      <c r="C15" s="1" t="str">
        <f>IFERROR(__xludf.DUMMYFUNCTION("""COMPUTED_VALUE"""),"DL14")</f>
        <v>DL14</v>
      </c>
      <c r="D15" s="2">
        <f>IFERROR(__xludf.DUMMYFUNCTION("""COMPUTED_VALUE"""),45038)</f>
        <v>45038</v>
      </c>
      <c r="E15" s="1" t="str">
        <f>IFERROR(__xludf.DUMMYFUNCTION("""COMPUTED_VALUE"""),"Top tech Catering")</f>
        <v>Top tech Catering</v>
      </c>
      <c r="F15" s="1" t="str">
        <f>IFERROR(__xludf.DUMMYFUNCTION("""COMPUTED_VALUE"""),"82")</f>
        <v>82</v>
      </c>
      <c r="G15" s="1" t="str">
        <f>IFERROR(__xludf.DUMMYFUNCTION("""COMPUTED_VALUE"""),"Catering Equipement")</f>
        <v>Catering Equipement</v>
      </c>
      <c r="H15" s="1"/>
      <c r="I15" s="1"/>
      <c r="J15" s="1" t="str">
        <f>IFERROR(__xludf.DUMMYFUNCTION("""COMPUTED_VALUE"""),"40")</f>
        <v>40</v>
      </c>
      <c r="K15" s="1">
        <f>IFERROR(__xludf.DUMMYFUNCTION("""COMPUTED_VALUE"""),8000)</f>
        <v>8000</v>
      </c>
      <c r="L15" s="1" t="str">
        <f>IFERROR(__xludf.DUMMYFUNCTION("""COMPUTED_VALUE"""),"Yes")</f>
        <v>Yes</v>
      </c>
      <c r="M15" s="1" t="str">
        <f>IFERROR(__xludf.DUMMYFUNCTION("""COMPUTED_VALUE"""),"Yes")</f>
        <v>Yes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customHeight="1" spans="1:25">
      <c r="A16" s="1" t="str">
        <f>IFERROR(__xludf.DUMMYFUNCTION("""COMPUTED_VALUE"""),"9z2t4xYMzOHPaqwah0Wysz")</f>
        <v>9z2t4xYMzOHPaqwah0Wysz</v>
      </c>
      <c r="B16" s="1">
        <f>IFERROR(__xludf.DUMMYFUNCTION("""COMPUTED_VALUE"""),15)</f>
        <v>15</v>
      </c>
      <c r="C16" s="1" t="str">
        <f>IFERROR(__xludf.DUMMYFUNCTION("""COMPUTED_VALUE"""),"DL15")</f>
        <v>DL15</v>
      </c>
      <c r="D16" s="2">
        <f>IFERROR(__xludf.DUMMYFUNCTION("""COMPUTED_VALUE"""),45048)</f>
        <v>45048</v>
      </c>
      <c r="E16" s="1" t="str">
        <f>IFERROR(__xludf.DUMMYFUNCTION("""COMPUTED_VALUE"""),"Auto Resus Shop")</f>
        <v>Auto Resus Shop</v>
      </c>
      <c r="F16" s="1" t="str">
        <f>IFERROR(__xludf.DUMMYFUNCTION("""COMPUTED_VALUE"""),"86")</f>
        <v>86</v>
      </c>
      <c r="G16" s="1" t="str">
        <f>IFERROR(__xludf.DUMMYFUNCTION("""COMPUTED_VALUE"""),"Automotive Parts")</f>
        <v>Automotive Parts</v>
      </c>
      <c r="H16" s="1">
        <f>IFERROR(__xludf.DUMMYFUNCTION("""COMPUTED_VALUE"""),4)</f>
        <v>4</v>
      </c>
      <c r="I16" s="1"/>
      <c r="J16" s="1" t="str">
        <f>IFERROR(__xludf.DUMMYFUNCTION("""COMPUTED_VALUE"""),"0,66")</f>
        <v>0,66</v>
      </c>
      <c r="K16" s="1">
        <f>IFERROR(__xludf.DUMMYFUNCTION("""COMPUTED_VALUE"""),100)</f>
        <v>100</v>
      </c>
      <c r="L16" s="1" t="str">
        <f>IFERROR(__xludf.DUMMYFUNCTION("""COMPUTED_VALUE"""),"Yes")</f>
        <v>Yes</v>
      </c>
      <c r="M16" s="1" t="str">
        <f>IFERROR(__xludf.DUMMYFUNCTION("""COMPUTED_VALUE"""),"Yes")</f>
        <v>Yes</v>
      </c>
      <c r="N16" s="1" t="str">
        <f>IFERROR(__xludf.DUMMYFUNCTION("""COMPUTED_VALUE"""),"China")</f>
        <v>China</v>
      </c>
      <c r="O16" s="1" t="str">
        <f>IFERROR(__xludf.DUMMYFUNCTION("""COMPUTED_VALUE"""),"Guangzhou city")</f>
        <v>Guangzhou city</v>
      </c>
      <c r="P16" s="1" t="str">
        <f>IFERROR(__xludf.DUMMYFUNCTION("""COMPUTED_VALUE"""),"South Africa")</f>
        <v>South Africa</v>
      </c>
      <c r="Q16" s="1" t="str">
        <f>IFERROR(__xludf.DUMMYFUNCTION("""COMPUTED_VALUE"""),"Port Elizabeth")</f>
        <v>Port Elizabeth</v>
      </c>
      <c r="R16" s="1" t="str">
        <f>IFERROR(__xludf.DUMMYFUNCTION("""COMPUTED_VALUE"""),"Sea")</f>
        <v>Sea</v>
      </c>
      <c r="S16" s="1" t="str">
        <f>IFERROR(__xludf.DUMMYFUNCTION("""COMPUTED_VALUE"""),"FCA")</f>
        <v>FCA</v>
      </c>
      <c r="T16" s="1" t="str">
        <f>IFERROR(__xludf.DUMMYFUNCTION("""COMPUTED_VALUE"""),"Guangzhou Hong Xin Trading Co., Ltd.")</f>
        <v>Guangzhou Hong Xin Trading Co., Ltd.</v>
      </c>
      <c r="U16" s="1"/>
      <c r="V16" s="1"/>
      <c r="W16" s="1"/>
      <c r="X16" s="1"/>
      <c r="Y16" s="1"/>
    </row>
    <row r="17" customHeight="1" spans="1:25">
      <c r="A17" s="1" t="str">
        <f>IFERROR(__xludf.DUMMYFUNCTION("""COMPUTED_VALUE"""),"aEAGpcECt1RcWR1zVYUDnf")</f>
        <v>aEAGpcECt1RcWR1zVYUDnf</v>
      </c>
      <c r="B17" s="1">
        <f>IFERROR(__xludf.DUMMYFUNCTION("""COMPUTED_VALUE"""),16)</f>
        <v>16</v>
      </c>
      <c r="C17" s="1" t="str">
        <f>IFERROR(__xludf.DUMMYFUNCTION("""COMPUTED_VALUE"""),"DL16")</f>
        <v>DL16</v>
      </c>
      <c r="D17" s="2">
        <f>IFERROR(__xludf.DUMMYFUNCTION("""COMPUTED_VALUE"""),45037)</f>
        <v>45037</v>
      </c>
      <c r="E17" s="1" t="str">
        <f>IFERROR(__xludf.DUMMYFUNCTION("""COMPUTED_VALUE"""),"Selby Mbouambi")</f>
        <v>Selby Mbouambi</v>
      </c>
      <c r="F17" s="1" t="str">
        <f>IFERROR(__xludf.DUMMYFUNCTION("""COMPUTED_VALUE"""),"75")</f>
        <v>75</v>
      </c>
      <c r="G17" s="1" t="str">
        <f>IFERROR(__xludf.DUMMYFUNCTION("""COMPUTED_VALUE"""),"Diesel Generator")</f>
        <v>Diesel Generator</v>
      </c>
      <c r="H17" s="1">
        <f>IFERROR(__xludf.DUMMYFUNCTION("""COMPUTED_VALUE"""),1)</f>
        <v>1</v>
      </c>
      <c r="I17" s="1"/>
      <c r="J17" s="1" t="str">
        <f>IFERROR(__xludf.DUMMYFUNCTION("""COMPUTED_VALUE"""),"10")</f>
        <v>10</v>
      </c>
      <c r="K17" s="1">
        <f>IFERROR(__xludf.DUMMYFUNCTION("""COMPUTED_VALUE"""),50)</f>
        <v>50</v>
      </c>
      <c r="L17" s="1" t="str">
        <f>IFERROR(__xludf.DUMMYFUNCTION("""COMPUTED_VALUE"""),"No")</f>
        <v>No</v>
      </c>
      <c r="M17" s="1" t="str">
        <f>IFERROR(__xludf.DUMMYFUNCTION("""COMPUTED_VALUE"""),"No")</f>
        <v>No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customHeight="1" spans="1:25">
      <c r="A18" s="1" t="str">
        <f>IFERROR(__xludf.DUMMYFUNCTION("""COMPUTED_VALUE"""),"C7gJFDcktbvdcPtIH8ocRf")</f>
        <v>C7gJFDcktbvdcPtIH8ocRf</v>
      </c>
      <c r="B18" s="1">
        <f>IFERROR(__xludf.DUMMYFUNCTION("""COMPUTED_VALUE"""),17)</f>
        <v>17</v>
      </c>
      <c r="C18" s="1" t="str">
        <f>IFERROR(__xludf.DUMMYFUNCTION("""COMPUTED_VALUE"""),"DL17")</f>
        <v>DL17</v>
      </c>
      <c r="D18" s="2">
        <f>IFERROR(__xludf.DUMMYFUNCTION("""COMPUTED_VALUE"""),45029)</f>
        <v>45029</v>
      </c>
      <c r="E18" s="1" t="str">
        <f>IFERROR(__xludf.DUMMYFUNCTION("""COMPUTED_VALUE"""),"Lwams Africa Group")</f>
        <v>Lwams Africa Group</v>
      </c>
      <c r="F18" s="1" t="str">
        <f>IFERROR(__xludf.DUMMYFUNCTION("""COMPUTED_VALUE"""),"55")</f>
        <v>55</v>
      </c>
      <c r="G18" s="1" t="str">
        <f>IFERROR(__xludf.DUMMYFUNCTION("""COMPUTED_VALUE"""),"Plastic moulding die")</f>
        <v>Plastic moulding die</v>
      </c>
      <c r="H18" s="1"/>
      <c r="I18" s="1"/>
      <c r="J18" s="1" t="str">
        <f>IFERROR(__xludf.DUMMYFUNCTION("""COMPUTED_VALUE"""),"1")</f>
        <v>1</v>
      </c>
      <c r="K18" s="1">
        <f>IFERROR(__xludf.DUMMYFUNCTION("""COMPUTED_VALUE"""),3030)</f>
        <v>3030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customHeight="1" spans="1:25">
      <c r="A19" s="1" t="str">
        <f>IFERROR(__xludf.DUMMYFUNCTION("""COMPUTED_VALUE"""),"F6FIZ0KgzKUCBlzg03xAre")</f>
        <v>F6FIZ0KgzKUCBlzg03xAre</v>
      </c>
      <c r="B19" s="1">
        <f>IFERROR(__xludf.DUMMYFUNCTION("""COMPUTED_VALUE"""),18)</f>
        <v>18</v>
      </c>
      <c r="C19" s="1" t="str">
        <f>IFERROR(__xludf.DUMMYFUNCTION("""COMPUTED_VALUE"""),"DL18")</f>
        <v>DL18</v>
      </c>
      <c r="D19" s="2">
        <f>IFERROR(__xludf.DUMMYFUNCTION("""COMPUTED_VALUE"""),45058)</f>
        <v>45058</v>
      </c>
      <c r="E19" s="1" t="str">
        <f>IFERROR(__xludf.DUMMYFUNCTION("""COMPUTED_VALUE"""),"Tumelo")</f>
        <v>Tumelo</v>
      </c>
      <c r="F19" s="1" t="str">
        <f>IFERROR(__xludf.DUMMYFUNCTION("""COMPUTED_VALUE"""),"18")</f>
        <v>18</v>
      </c>
      <c r="G19" s="1"/>
      <c r="H19" s="1"/>
      <c r="I19" s="1"/>
      <c r="J19" s="1" t="str">
        <f>IFERROR(__xludf.DUMMYFUNCTION("""COMPUTED_VALUE"""),"1.56")</f>
        <v>1.56</v>
      </c>
      <c r="K19" s="1">
        <f>IFERROR(__xludf.DUMMYFUNCTION("""COMPUTED_VALUE"""),20)</f>
        <v>20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customHeight="1" spans="1:25">
      <c r="A20" s="1" t="str">
        <f>IFERROR(__xludf.DUMMYFUNCTION("""COMPUTED_VALUE"""),"Ua3Si7vJsns8G9D3ewt0Vx")</f>
        <v>Ua3Si7vJsns8G9D3ewt0Vx</v>
      </c>
      <c r="B20" s="1">
        <f>IFERROR(__xludf.DUMMYFUNCTION("""COMPUTED_VALUE"""),19)</f>
        <v>19</v>
      </c>
      <c r="C20" s="1" t="str">
        <f>IFERROR(__xludf.DUMMYFUNCTION("""COMPUTED_VALUE"""),"DL19")</f>
        <v>DL19</v>
      </c>
      <c r="D20" s="2">
        <f>IFERROR(__xludf.DUMMYFUNCTION("""COMPUTED_VALUE"""),45099)</f>
        <v>45099</v>
      </c>
      <c r="E20" s="1" t="str">
        <f>IFERROR(__xludf.DUMMYFUNCTION("""COMPUTED_VALUE"""),"Mohammad Fouzan")</f>
        <v>Mohammad Fouzan</v>
      </c>
      <c r="F20" s="1" t="str">
        <f>IFERROR(__xludf.DUMMYFUNCTION("""COMPUTED_VALUE"""),"189")</f>
        <v>189</v>
      </c>
      <c r="G20" s="1" t="str">
        <f>IFERROR(__xludf.DUMMYFUNCTION("""COMPUTED_VALUE"""),"Flowers")</f>
        <v>Flowers</v>
      </c>
      <c r="H20" s="1">
        <f>IFERROR(__xludf.DUMMYFUNCTION("""COMPUTED_VALUE"""),12)</f>
        <v>12</v>
      </c>
      <c r="I20" s="1"/>
      <c r="J20" s="1" t="str">
        <f>IFERROR(__xludf.DUMMYFUNCTION("""COMPUTED_VALUE"""),"1.6")</f>
        <v>1.6</v>
      </c>
      <c r="K20" s="1">
        <f>IFERROR(__xludf.DUMMYFUNCTION("""COMPUTED_VALUE"""),204)</f>
        <v>204</v>
      </c>
      <c r="L20" s="1" t="str">
        <f>IFERROR(__xludf.DUMMYFUNCTION("""COMPUTED_VALUE"""),"Yes")</f>
        <v>Yes</v>
      </c>
      <c r="M20" s="1" t="str">
        <f>IFERROR(__xludf.DUMMYFUNCTION("""COMPUTED_VALUE"""),"Yes")</f>
        <v>Yes</v>
      </c>
      <c r="N20" s="1" t="str">
        <f>IFERROR(__xludf.DUMMYFUNCTION("""COMPUTED_VALUE"""),"China")</f>
        <v>China</v>
      </c>
      <c r="O20" s="1" t="str">
        <f>IFERROR(__xludf.DUMMYFUNCTION("""COMPUTED_VALUE"""),"Hebei")</f>
        <v>Hebei</v>
      </c>
      <c r="P20" s="1" t="str">
        <f>IFERROR(__xludf.DUMMYFUNCTION("""COMPUTED_VALUE"""),"South Africa")</f>
        <v>South Africa</v>
      </c>
      <c r="Q20" s="1" t="str">
        <f>IFERROR(__xludf.DUMMYFUNCTION("""COMPUTED_VALUE"""),"Johannesburg")</f>
        <v>Johannesburg</v>
      </c>
      <c r="R20" s="1" t="str">
        <f>IFERROR(__xludf.DUMMYFUNCTION("""COMPUTED_VALUE"""),"Sea")</f>
        <v>Sea</v>
      </c>
      <c r="S20" s="1" t="str">
        <f>IFERROR(__xludf.DUMMYFUNCTION("""COMPUTED_VALUE"""),"FOB")</f>
        <v>FOB</v>
      </c>
      <c r="T20" s="1" t="str">
        <f>IFERROR(__xludf.DUMMYFUNCTION("""COMPUTED_VALUE"""),"Li Tun Village, Du Shengzhen, Cang County, Cangzhou City, Hebei Province")</f>
        <v>Li Tun Village, Du Shengzhen, Cang County, Cangzhou City, Hebei Province</v>
      </c>
      <c r="U20" s="1"/>
      <c r="V20" s="1"/>
      <c r="W20" s="1" t="str">
        <f>IFERROR(__xludf.DUMMYFUNCTION("""COMPUTED_VALUE"""),"Zhao Jun Tel: 13482916885")</f>
        <v>Zhao Jun Tel: 13482916885</v>
      </c>
      <c r="X20" s="1"/>
      <c r="Y20" s="1"/>
    </row>
    <row r="21" customHeight="1" spans="1:25">
      <c r="A21" s="1" t="str">
        <f>IFERROR(__xludf.DUMMYFUNCTION("""COMPUTED_VALUE"""),"HGG2IaLUVgWgllv1py55Hf")</f>
        <v>HGG2IaLUVgWgllv1py55Hf</v>
      </c>
      <c r="B21" s="1">
        <f>IFERROR(__xludf.DUMMYFUNCTION("""COMPUTED_VALUE"""),20)</f>
        <v>20</v>
      </c>
      <c r="C21" s="1" t="str">
        <f>IFERROR(__xludf.DUMMYFUNCTION("""COMPUTED_VALUE"""),"DL20")</f>
        <v>DL20</v>
      </c>
      <c r="D21" s="2">
        <f>IFERROR(__xludf.DUMMYFUNCTION("""COMPUTED_VALUE"""),45106)</f>
        <v>45106</v>
      </c>
      <c r="E21" s="1" t="str">
        <f>IFERROR(__xludf.DUMMYFUNCTION("""COMPUTED_VALUE"""),"DMD Healthcare")</f>
        <v>DMD Healthcare</v>
      </c>
      <c r="F21" s="1" t="str">
        <f>IFERROR(__xludf.DUMMYFUNCTION("""COMPUTED_VALUE"""),"111")</f>
        <v>111</v>
      </c>
      <c r="G21" s="1" t="str">
        <f>IFERROR(__xludf.DUMMYFUNCTION("""COMPUTED_VALUE"""),"Healthcare Products")</f>
        <v>Healthcare Products</v>
      </c>
      <c r="H21" s="1">
        <f>IFERROR(__xludf.DUMMYFUNCTION("""COMPUTED_VALUE"""),1)</f>
        <v>1</v>
      </c>
      <c r="I21" s="1"/>
      <c r="J21" s="1" t="str">
        <f>IFERROR(__xludf.DUMMYFUNCTION("""COMPUTED_VALUE"""),"1")</f>
        <v>1</v>
      </c>
      <c r="K21" s="1">
        <f>IFERROR(__xludf.DUMMYFUNCTION("""COMPUTED_VALUE"""),500)</f>
        <v>500</v>
      </c>
      <c r="L21" s="1" t="str">
        <f>IFERROR(__xludf.DUMMYFUNCTION("""COMPUTED_VALUE"""),"Yes")</f>
        <v>Yes</v>
      </c>
      <c r="M21" s="1" t="str">
        <f>IFERROR(__xludf.DUMMYFUNCTION("""COMPUTED_VALUE"""),"Yes")</f>
        <v>Yes</v>
      </c>
      <c r="N21" s="1" t="str">
        <f>IFERROR(__xludf.DUMMYFUNCTION("""COMPUTED_VALUE"""),"South Africa")</f>
        <v>South Africa</v>
      </c>
      <c r="O21" s="1" t="str">
        <f>IFERROR(__xludf.DUMMYFUNCTION("""COMPUTED_VALUE"""),"Kempton Park")</f>
        <v>Kempton Park</v>
      </c>
      <c r="P21" s="1" t="str">
        <f>IFERROR(__xludf.DUMMYFUNCTION("""COMPUTED_VALUE"""),"Zimbabwe")</f>
        <v>Zimbabwe</v>
      </c>
      <c r="Q21" s="1" t="str">
        <f>IFERROR(__xludf.DUMMYFUNCTION("""COMPUTED_VALUE"""),"Harare")</f>
        <v>Harare</v>
      </c>
      <c r="R21" s="1" t="str">
        <f>IFERROR(__xludf.DUMMYFUNCTION("""COMPUTED_VALUE"""),"Road")</f>
        <v>Road</v>
      </c>
      <c r="S21" s="1" t="str">
        <f>IFERROR(__xludf.DUMMYFUNCTION("""COMPUTED_VALUE"""),"DDP")</f>
        <v>DDP</v>
      </c>
      <c r="T21" s="1" t="str">
        <f>IFERROR(__xludf.DUMMYFUNCTION("""COMPUTED_VALUE"""),"Supra Healthcare Jhb")</f>
        <v>Supra Healthcare Jhb</v>
      </c>
      <c r="U21" s="1"/>
      <c r="V21" s="1" t="str">
        <f>IFERROR(__xludf.DUMMYFUNCTION("""COMPUTED_VALUE"""),"gordon.g@avacarehealth.com")</f>
        <v>gordon.g@avacarehealth.com</v>
      </c>
      <c r="W21" s="1" t="str">
        <f>IFERROR(__xludf.DUMMYFUNCTION("""COMPUTED_VALUE"""),"0110494100")</f>
        <v>0110494100</v>
      </c>
      <c r="X21" s="1"/>
      <c r="Y21" s="1"/>
    </row>
    <row r="22" customHeight="1" spans="1:25">
      <c r="A22" s="1" t="str">
        <f>IFERROR(__xludf.DUMMYFUNCTION("""COMPUTED_VALUE"""),"GRbJhGA9f9HBPrIhqnWtdZ")</f>
        <v>GRbJhGA9f9HBPrIhqnWtdZ</v>
      </c>
      <c r="B22" s="1">
        <f>IFERROR(__xludf.DUMMYFUNCTION("""COMPUTED_VALUE"""),21)</f>
        <v>21</v>
      </c>
      <c r="C22" s="1" t="str">
        <f>IFERROR(__xludf.DUMMYFUNCTION("""COMPUTED_VALUE"""),"DL21")</f>
        <v>DL21</v>
      </c>
      <c r="D22" s="2">
        <f>IFERROR(__xludf.DUMMYFUNCTION("""COMPUTED_VALUE"""),45100)</f>
        <v>45100</v>
      </c>
      <c r="E22" s="1" t="str">
        <f>IFERROR(__xludf.DUMMYFUNCTION("""COMPUTED_VALUE"""),"Msimeki Mabuza")</f>
        <v>Msimeki Mabuza</v>
      </c>
      <c r="F22" s="1" t="str">
        <f>IFERROR(__xludf.DUMMYFUNCTION("""COMPUTED_VALUE"""),"186")</f>
        <v>186</v>
      </c>
      <c r="G22" s="1" t="str">
        <f>IFERROR(__xludf.DUMMYFUNCTION("""COMPUTED_VALUE"""),"Electrical Lifting Folding")</f>
        <v>Electrical Lifting Folding</v>
      </c>
      <c r="H22" s="1">
        <f>IFERROR(__xludf.DUMMYFUNCTION("""COMPUTED_VALUE"""),4)</f>
        <v>4</v>
      </c>
      <c r="I22" s="4" t="str">
        <f>IFERROR(__xludf.DUMMYFUNCTION("""COMPUTED_VALUE"""),"http://www.boentes.com")</f>
        <v>http://www.boentes.com</v>
      </c>
      <c r="J22" s="1" t="str">
        <f>IFERROR(__xludf.DUMMYFUNCTION("""COMPUTED_VALUE"""),"0.6")</f>
        <v>0.6</v>
      </c>
      <c r="K22" s="1">
        <f>IFERROR(__xludf.DUMMYFUNCTION("""COMPUTED_VALUE"""),92)</f>
        <v>92</v>
      </c>
      <c r="L22" s="1" t="str">
        <f>IFERROR(__xludf.DUMMYFUNCTION("""COMPUTED_VALUE"""),"Yes")</f>
        <v>Yes</v>
      </c>
      <c r="M22" s="1" t="str">
        <f>IFERROR(__xludf.DUMMYFUNCTION("""COMPUTED_VALUE"""),"Yes")</f>
        <v>Yes</v>
      </c>
      <c r="N22" s="1" t="str">
        <f>IFERROR(__xludf.DUMMYFUNCTION("""COMPUTED_VALUE"""),"China")</f>
        <v>China</v>
      </c>
      <c r="O22" s="1" t="str">
        <f>IFERROR(__xludf.DUMMYFUNCTION("""COMPUTED_VALUE"""),"Guangzhou")</f>
        <v>Guangzhou</v>
      </c>
      <c r="P22" s="1" t="str">
        <f>IFERROR(__xludf.DUMMYFUNCTION("""COMPUTED_VALUE"""),"South Africa")</f>
        <v>South Africa</v>
      </c>
      <c r="Q22" s="1" t="str">
        <f>IFERROR(__xludf.DUMMYFUNCTION("""COMPUTED_VALUE"""),"Johannesburg")</f>
        <v>Johannesburg</v>
      </c>
      <c r="R22" s="1" t="str">
        <f>IFERROR(__xludf.DUMMYFUNCTION("""COMPUTED_VALUE"""),"Sea")</f>
        <v>Sea</v>
      </c>
      <c r="S22" s="1" t="str">
        <f>IFERROR(__xludf.DUMMYFUNCTION("""COMPUTED_VALUE"""),"EXW")</f>
        <v>EXW</v>
      </c>
      <c r="T22" s="1" t="str">
        <f>IFERROR(__xludf.DUMMYFUNCTION("""COMPUTED_VALUE"""),"Bo Ente Industrial Co.,Limited")</f>
        <v>Bo Ente Industrial Co.,Limited</v>
      </c>
      <c r="U22" s="1"/>
      <c r="V22" s="1" t="str">
        <f>IFERROR(__xludf.DUMMYFUNCTION("""COMPUTED_VALUE"""),"sales2@boentes.com")</f>
        <v>sales2@boentes.com</v>
      </c>
      <c r="W22" s="1" t="str">
        <f>IFERROR(__xludf.DUMMYFUNCTION("""COMPUTED_VALUE"""),"086 020-36395660")</f>
        <v>086 020-36395660</v>
      </c>
      <c r="X22" s="1"/>
      <c r="Y22" s="1"/>
    </row>
    <row r="23" customHeight="1" spans="1:25">
      <c r="A23" s="1" t="str">
        <f>IFERROR(__xludf.DUMMYFUNCTION("""COMPUTED_VALUE"""),"dF6f9SqnCm3n94GxBCYyD0")</f>
        <v>dF6f9SqnCm3n94GxBCYyD0</v>
      </c>
      <c r="B23" s="1">
        <f>IFERROR(__xludf.DUMMYFUNCTION("""COMPUTED_VALUE"""),22)</f>
        <v>22</v>
      </c>
      <c r="C23" s="1" t="str">
        <f>IFERROR(__xludf.DUMMYFUNCTION("""COMPUTED_VALUE"""),"DL22")</f>
        <v>DL22</v>
      </c>
      <c r="D23" s="2">
        <f>IFERROR(__xludf.DUMMYFUNCTION("""COMPUTED_VALUE"""),45111)</f>
        <v>45111</v>
      </c>
      <c r="E23" s="1" t="str">
        <f>IFERROR(__xludf.DUMMYFUNCTION("""COMPUTED_VALUE"""),"Nicholson")</f>
        <v>Nicholson</v>
      </c>
      <c r="F23" s="1" t="str">
        <f>IFERROR(__xludf.DUMMYFUNCTION("""COMPUTED_VALUE"""),"183")</f>
        <v>183</v>
      </c>
      <c r="G23" s="1" t="str">
        <f>IFERROR(__xludf.DUMMYFUNCTION("""COMPUTED_VALUE"""),"Batteries")</f>
        <v>Batteries</v>
      </c>
      <c r="H23" s="1">
        <f>IFERROR(__xludf.DUMMYFUNCTION("""COMPUTED_VALUE"""),4)</f>
        <v>4</v>
      </c>
      <c r="I23" s="1"/>
      <c r="J23" s="1" t="str">
        <f>IFERROR(__xludf.DUMMYFUNCTION("""COMPUTED_VALUE"""),"0.15")</f>
        <v>0.15</v>
      </c>
      <c r="K23" s="1">
        <f>IFERROR(__xludf.DUMMYFUNCTION("""COMPUTED_VALUE"""),29)</f>
        <v>29</v>
      </c>
      <c r="L23" s="1" t="str">
        <f>IFERROR(__xludf.DUMMYFUNCTION("""COMPUTED_VALUE"""),"Yes")</f>
        <v>Yes</v>
      </c>
      <c r="M23" s="1" t="str">
        <f>IFERROR(__xludf.DUMMYFUNCTION("""COMPUTED_VALUE"""),"Yes")</f>
        <v>Yes</v>
      </c>
      <c r="N23" s="1" t="str">
        <f>IFERROR(__xludf.DUMMYFUNCTION("""COMPUTED_VALUE"""),"China")</f>
        <v>China</v>
      </c>
      <c r="O23" s="1" t="str">
        <f>IFERROR(__xludf.DUMMYFUNCTION("""COMPUTED_VALUE"""),"Hongkong")</f>
        <v>Hongkong</v>
      </c>
      <c r="P23" s="1" t="str">
        <f>IFERROR(__xludf.DUMMYFUNCTION("""COMPUTED_VALUE"""),"South Africa")</f>
        <v>South Africa</v>
      </c>
      <c r="Q23" s="1" t="str">
        <f>IFERROR(__xludf.DUMMYFUNCTION("""COMPUTED_VALUE"""),"Johannesburg")</f>
        <v>Johannesburg</v>
      </c>
      <c r="R23" s="1" t="str">
        <f>IFERROR(__xludf.DUMMYFUNCTION("""COMPUTED_VALUE"""),"Air")</f>
        <v>Air</v>
      </c>
      <c r="S23" s="1" t="str">
        <f>IFERROR(__xludf.DUMMYFUNCTION("""COMPUTED_VALUE"""),"EXW")</f>
        <v>EXW</v>
      </c>
      <c r="T23" s="1" t="str">
        <f>IFERROR(__xludf.DUMMYFUNCTION("""COMPUTED_VALUE"""),"ISTONE INNOVATION LIMITED")</f>
        <v>ISTONE INNOVATION LIMITED</v>
      </c>
      <c r="U23" s="1"/>
      <c r="V23" s="1"/>
      <c r="W23" s="1" t="str">
        <f>IFERROR(__xludf.DUMMYFUNCTION("""COMPUTED_VALUE"""),"+852 21239148")</f>
        <v>+852 21239148</v>
      </c>
      <c r="X23" s="1"/>
      <c r="Y23" s="1"/>
    </row>
    <row r="24" customHeight="1" spans="1:25">
      <c r="A24" s="1" t="str">
        <f>IFERROR(__xludf.DUMMYFUNCTION("""COMPUTED_VALUE"""),"RstvVRJlil9Ah9W2ShFnZE")</f>
        <v>RstvVRJlil9Ah9W2ShFnZE</v>
      </c>
      <c r="B24" s="1">
        <f>IFERROR(__xludf.DUMMYFUNCTION("""COMPUTED_VALUE"""),23)</f>
        <v>23</v>
      </c>
      <c r="C24" s="1" t="str">
        <f>IFERROR(__xludf.DUMMYFUNCTION("""COMPUTED_VALUE"""),"DL23")</f>
        <v>DL23</v>
      </c>
      <c r="D24" s="2">
        <f>IFERROR(__xludf.DUMMYFUNCTION("""COMPUTED_VALUE"""),45106)</f>
        <v>45106</v>
      </c>
      <c r="E24" s="1" t="str">
        <f>IFERROR(__xludf.DUMMYFUNCTION("""COMPUTED_VALUE"""),"Top tech Catering")</f>
        <v>Top tech Catering</v>
      </c>
      <c r="F24" s="1" t="str">
        <f>IFERROR(__xludf.DUMMYFUNCTION("""COMPUTED_VALUE"""),"82")</f>
        <v>82</v>
      </c>
      <c r="G24" s="1" t="str">
        <f>IFERROR(__xludf.DUMMYFUNCTION("""COMPUTED_VALUE"""),"Catering Equipment")</f>
        <v>Catering Equipment</v>
      </c>
      <c r="H24" s="1">
        <f>IFERROR(__xludf.DUMMYFUNCTION("""COMPUTED_VALUE"""),215)</f>
        <v>215</v>
      </c>
      <c r="I24" s="1"/>
      <c r="J24" s="1" t="str">
        <f>IFERROR(__xludf.DUMMYFUNCTION("""COMPUTED_VALUE"""),"40")</f>
        <v>40</v>
      </c>
      <c r="K24" s="1">
        <f>IFERROR(__xludf.DUMMYFUNCTION("""COMPUTED_VALUE"""),9620)</f>
        <v>9620</v>
      </c>
      <c r="L24" s="1" t="str">
        <f>IFERROR(__xludf.DUMMYFUNCTION("""COMPUTED_VALUE"""),"Yes")</f>
        <v>Yes</v>
      </c>
      <c r="M24" s="1" t="str">
        <f>IFERROR(__xludf.DUMMYFUNCTION("""COMPUTED_VALUE"""),"Yes")</f>
        <v>Yes</v>
      </c>
      <c r="N24" s="1" t="str">
        <f>IFERROR(__xludf.DUMMYFUNCTION("""COMPUTED_VALUE"""),"CHINA")</f>
        <v>CHINA</v>
      </c>
      <c r="O24" s="1" t="str">
        <f>IFERROR(__xludf.DUMMYFUNCTION("""COMPUTED_VALUE"""),"Guangzhong")</f>
        <v>Guangzhong</v>
      </c>
      <c r="P24" s="1" t="str">
        <f>IFERROR(__xludf.DUMMYFUNCTION("""COMPUTED_VALUE"""),"South Africa")</f>
        <v>South Africa</v>
      </c>
      <c r="Q24" s="1" t="str">
        <f>IFERROR(__xludf.DUMMYFUNCTION("""COMPUTED_VALUE"""),"Johannesburg")</f>
        <v>Johannesburg</v>
      </c>
      <c r="R24" s="1" t="str">
        <f>IFERROR(__xludf.DUMMYFUNCTION("""COMPUTED_VALUE"""),"Sea")</f>
        <v>Sea</v>
      </c>
      <c r="S24" s="1" t="str">
        <f>IFERROR(__xludf.DUMMYFUNCTION("""COMPUTED_VALUE"""),"EXW")</f>
        <v>EXW</v>
      </c>
      <c r="T24" s="1" t="str">
        <f>IFERROR(__xludf.DUMMYFUNCTION("""COMPUTED_VALUE"""),"Guangzhou Wei Machinery Equipment")</f>
        <v>Guangzhou Wei Machinery Equipment</v>
      </c>
      <c r="U24" s="1"/>
      <c r="V24" s="1"/>
      <c r="W24" s="1" t="str">
        <f>IFERROR(__xludf.DUMMYFUNCTION("""COMPUTED_VALUE"""),"0086-20-66630106")</f>
        <v>0086-20-66630106</v>
      </c>
      <c r="X24" s="1"/>
      <c r="Y24" s="1"/>
    </row>
    <row r="25" customHeight="1" spans="1:25">
      <c r="A25" s="1" t="str">
        <f>IFERROR(__xludf.DUMMYFUNCTION("""COMPUTED_VALUE"""),"VseeBdbxYiwNFO93U61D97")</f>
        <v>VseeBdbxYiwNFO93U61D97</v>
      </c>
      <c r="B25" s="1">
        <f>IFERROR(__xludf.DUMMYFUNCTION("""COMPUTED_VALUE"""),24)</f>
        <v>24</v>
      </c>
      <c r="C25" s="1" t="str">
        <f>IFERROR(__xludf.DUMMYFUNCTION("""COMPUTED_VALUE"""),"DL24")</f>
        <v>DL24</v>
      </c>
      <c r="D25" s="2">
        <f>IFERROR(__xludf.DUMMYFUNCTION("""COMPUTED_VALUE"""),45061)</f>
        <v>45061</v>
      </c>
      <c r="E25" s="1" t="str">
        <f>IFERROR(__xludf.DUMMYFUNCTION("""COMPUTED_VALUE"""),"Brad")</f>
        <v>Brad</v>
      </c>
      <c r="F25" s="1" t="str">
        <f>IFERROR(__xludf.DUMMYFUNCTION("""COMPUTED_VALUE"""),"36")</f>
        <v>36</v>
      </c>
      <c r="G25" s="1" t="str">
        <f>IFERROR(__xludf.DUMMYFUNCTION("""COMPUTED_VALUE"""),"Steel tubes")</f>
        <v>Steel tubes</v>
      </c>
      <c r="H25" s="1">
        <f>IFERROR(__xludf.DUMMYFUNCTION("""COMPUTED_VALUE"""),1)</f>
        <v>1</v>
      </c>
      <c r="I25" s="1"/>
      <c r="J25" s="1" t="str">
        <f>IFERROR(__xludf.DUMMYFUNCTION("""COMPUTED_VALUE"""),"0.3")</f>
        <v>0.3</v>
      </c>
      <c r="K25" s="1">
        <f>IFERROR(__xludf.DUMMYFUNCTION("""COMPUTED_VALUE"""),100)</f>
        <v>100</v>
      </c>
      <c r="L25" s="1" t="str">
        <f>IFERROR(__xludf.DUMMYFUNCTION("""COMPUTED_VALUE"""),"Yes")</f>
        <v>Yes</v>
      </c>
      <c r="M25" s="1" t="str">
        <f>IFERROR(__xludf.DUMMYFUNCTION("""COMPUTED_VALUE"""),"Yes")</f>
        <v>Yes</v>
      </c>
      <c r="N25" s="1" t="str">
        <f>IFERROR(__xludf.DUMMYFUNCTION("""COMPUTED_VALUE"""),"China")</f>
        <v>China</v>
      </c>
      <c r="O25" s="1" t="str">
        <f>IFERROR(__xludf.DUMMYFUNCTION("""COMPUTED_VALUE"""),"Guangzhou")</f>
        <v>Guangzhou</v>
      </c>
      <c r="P25" s="1" t="str">
        <f>IFERROR(__xludf.DUMMYFUNCTION("""COMPUTED_VALUE"""),"South Africa")</f>
        <v>South Africa</v>
      </c>
      <c r="Q25" s="1" t="str">
        <f>IFERROR(__xludf.DUMMYFUNCTION("""COMPUTED_VALUE"""),"Kempton Park")</f>
        <v>Kempton Park</v>
      </c>
      <c r="R25" s="1" t="str">
        <f>IFERROR(__xludf.DUMMYFUNCTION("""COMPUTED_VALUE"""),"Sea")</f>
        <v>Sea</v>
      </c>
      <c r="S25" s="1" t="str">
        <f>IFERROR(__xludf.DUMMYFUNCTION("""COMPUTED_VALUE"""),"FCA")</f>
        <v>FCA</v>
      </c>
      <c r="T25" s="1" t="str">
        <f>IFERROR(__xludf.DUMMYFUNCTION("""COMPUTED_VALUE"""),"OBD lOGISTICS")</f>
        <v>OBD lOGISTICS</v>
      </c>
      <c r="U25" s="1"/>
      <c r="V25" s="1"/>
      <c r="W25" s="1"/>
      <c r="X25" s="1"/>
      <c r="Y25" s="1"/>
    </row>
    <row r="26" customHeight="1" spans="1:25">
      <c r="A26" s="1" t="str">
        <f>IFERROR(__xludf.DUMMYFUNCTION("""COMPUTED_VALUE"""),"RxxEMeeD1Pa1W9HRMBRqBe")</f>
        <v>RxxEMeeD1Pa1W9HRMBRqBe</v>
      </c>
      <c r="B26" s="1">
        <f>IFERROR(__xludf.DUMMYFUNCTION("""COMPUTED_VALUE"""),25)</f>
        <v>25</v>
      </c>
      <c r="C26" s="1" t="str">
        <f>IFERROR(__xludf.DUMMYFUNCTION("""COMPUTED_VALUE"""),"DL25")</f>
        <v>DL25</v>
      </c>
      <c r="D26" s="2">
        <f>IFERROR(__xludf.DUMMYFUNCTION("""COMPUTED_VALUE"""),45121)</f>
        <v>45121</v>
      </c>
      <c r="E26" s="1" t="str">
        <f>IFERROR(__xludf.DUMMYFUNCTION("""COMPUTED_VALUE"""),"Ramu Global Investments Group (Pty) Ltd")</f>
        <v>Ramu Global Investments Group (Pty) Ltd</v>
      </c>
      <c r="F26" s="1" t="str">
        <f>IFERROR(__xludf.DUMMYFUNCTION("""COMPUTED_VALUE"""),"161")</f>
        <v>161</v>
      </c>
      <c r="G26" s="1" t="str">
        <f>IFERROR(__xludf.DUMMYFUNCTION("""COMPUTED_VALUE"""),"Motor Cycles 40GP")</f>
        <v>Motor Cycles 40GP</v>
      </c>
      <c r="H26" s="1">
        <f>IFERROR(__xludf.DUMMYFUNCTION("""COMPUTED_VALUE"""),105)</f>
        <v>105</v>
      </c>
      <c r="I26" s="1"/>
      <c r="J26" s="1" t="str">
        <f>IFERROR(__xludf.DUMMYFUNCTION("""COMPUTED_VALUE"""),"67")</f>
        <v>67</v>
      </c>
      <c r="K26" s="1">
        <f>IFERROR(__xludf.DUMMYFUNCTION("""COMPUTED_VALUE"""),26300)</f>
        <v>26300</v>
      </c>
      <c r="L26" s="1" t="str">
        <f>IFERROR(__xludf.DUMMYFUNCTION("""COMPUTED_VALUE"""),"Yes")</f>
        <v>Yes</v>
      </c>
      <c r="M26" s="1" t="str">
        <f>IFERROR(__xludf.DUMMYFUNCTION("""COMPUTED_VALUE"""),"Yes")</f>
        <v>Yes</v>
      </c>
      <c r="N26" s="1" t="str">
        <f>IFERROR(__xludf.DUMMYFUNCTION("""COMPUTED_VALUE"""),"China")</f>
        <v>China</v>
      </c>
      <c r="O26" s="1" t="str">
        <f>IFERROR(__xludf.DUMMYFUNCTION("""COMPUTED_VALUE"""),"Jiangmen")</f>
        <v>Jiangmen</v>
      </c>
      <c r="P26" s="1" t="str">
        <f>IFERROR(__xludf.DUMMYFUNCTION("""COMPUTED_VALUE"""),"South Africa")</f>
        <v>South Africa</v>
      </c>
      <c r="Q26" s="1" t="str">
        <f>IFERROR(__xludf.DUMMYFUNCTION("""COMPUTED_VALUE"""),"Johannesburg")</f>
        <v>Johannesburg</v>
      </c>
      <c r="R26" s="1" t="str">
        <f>IFERROR(__xludf.DUMMYFUNCTION("""COMPUTED_VALUE"""),"Sea")</f>
        <v>Sea</v>
      </c>
      <c r="S26" s="1" t="str">
        <f>IFERROR(__xludf.DUMMYFUNCTION("""COMPUTED_VALUE"""),"FOB")</f>
        <v>FOB</v>
      </c>
      <c r="T26" s="1"/>
      <c r="U26" s="1"/>
      <c r="V26" s="1"/>
      <c r="W26" s="1"/>
      <c r="X26" s="1"/>
      <c r="Y26" s="1"/>
    </row>
    <row r="27" customHeight="1" spans="1:25">
      <c r="A27" s="1" t="str">
        <f>IFERROR(__xludf.DUMMYFUNCTION("""COMPUTED_VALUE"""),"GTufcoHLNXQni4b9PK8YT4")</f>
        <v>GTufcoHLNXQni4b9PK8YT4</v>
      </c>
      <c r="B27" s="1">
        <f>IFERROR(__xludf.DUMMYFUNCTION("""COMPUTED_VALUE"""),26)</f>
        <v>26</v>
      </c>
      <c r="C27" s="1" t="str">
        <f>IFERROR(__xludf.DUMMYFUNCTION("""COMPUTED_VALUE"""),"DL26")</f>
        <v>DL26</v>
      </c>
      <c r="D27" s="2">
        <f>IFERROR(__xludf.DUMMYFUNCTION("""COMPUTED_VALUE"""),45132)</f>
        <v>45132</v>
      </c>
      <c r="E27" s="1" t="str">
        <f>IFERROR(__xludf.DUMMYFUNCTION("""COMPUTED_VALUE"""),"United Nations Development Programme")</f>
        <v>United Nations Development Programme</v>
      </c>
      <c r="F27" s="1" t="str">
        <f>IFERROR(__xludf.DUMMYFUNCTION("""COMPUTED_VALUE"""),"129")</f>
        <v>129</v>
      </c>
      <c r="G27" s="1" t="str">
        <f>IFERROR(__xludf.DUMMYFUNCTION("""COMPUTED_VALUE"""),"Shovels, Rake, Pick Mattock, Handle Pick Pay, WB Falcon Poly Pan Ckd")</f>
        <v>Shovels, Rake, Pick Mattock, Handle Pick Pay, WB Falcon Poly Pan Ckd</v>
      </c>
      <c r="H27" s="1">
        <f>IFERROR(__xludf.DUMMYFUNCTION("""COMPUTED_VALUE"""),4)</f>
        <v>4</v>
      </c>
      <c r="I27" s="1"/>
      <c r="J27" s="1" t="str">
        <f>IFERROR(__xludf.DUMMYFUNCTION("""COMPUTED_VALUE"""),"7")</f>
        <v>7</v>
      </c>
      <c r="K27" s="1">
        <f>IFERROR(__xludf.DUMMYFUNCTION("""COMPUTED_VALUE"""),1100)</f>
        <v>1100</v>
      </c>
      <c r="L27" s="1" t="str">
        <f>IFERROR(__xludf.DUMMYFUNCTION("""COMPUTED_VALUE"""),"Yes")</f>
        <v>Yes</v>
      </c>
      <c r="M27" s="1" t="str">
        <f>IFERROR(__xludf.DUMMYFUNCTION("""COMPUTED_VALUE"""),"Yes")</f>
        <v>Yes</v>
      </c>
      <c r="N27" s="1" t="str">
        <f>IFERROR(__xludf.DUMMYFUNCTION("""COMPUTED_VALUE"""),"South Africa")</f>
        <v>South Africa</v>
      </c>
      <c r="O27" s="1" t="str">
        <f>IFERROR(__xludf.DUMMYFUNCTION("""COMPUTED_VALUE"""),"Kempton Park")</f>
        <v>Kempton Park</v>
      </c>
      <c r="P27" s="1" t="str">
        <f>IFERROR(__xludf.DUMMYFUNCTION("""COMPUTED_VALUE"""),"Angola")</f>
        <v>Angola</v>
      </c>
      <c r="Q27" s="1" t="str">
        <f>IFERROR(__xludf.DUMMYFUNCTION("""COMPUTED_VALUE"""),"Luanda")</f>
        <v>Luanda</v>
      </c>
      <c r="R27" s="1" t="str">
        <f>IFERROR(__xludf.DUMMYFUNCTION("""COMPUTED_VALUE"""),"Sea")</f>
        <v>Sea</v>
      </c>
      <c r="S27" s="1" t="str">
        <f>IFERROR(__xludf.DUMMYFUNCTION("""COMPUTED_VALUE"""),"FCA")</f>
        <v>FCA</v>
      </c>
      <c r="T27" s="1" t="str">
        <f>IFERROR(__xludf.DUMMYFUNCTION("""COMPUTED_VALUE"""),"Asia Direct - Africa")</f>
        <v>Asia Direct - Africa</v>
      </c>
      <c r="U27" s="1"/>
      <c r="V27" s="1" t="str">
        <f>IFERROR(__xludf.DUMMYFUNCTION("""COMPUTED_VALUE"""),"info@konejcpartners.co.za")</f>
        <v>info@konejcpartners.co.za</v>
      </c>
      <c r="W27" s="1" t="str">
        <f>IFERROR(__xludf.DUMMYFUNCTION("""COMPUTED_VALUE"""),"+27605449963")</f>
        <v>+27605449963</v>
      </c>
      <c r="X27" s="1"/>
      <c r="Y27" s="1"/>
    </row>
    <row r="28" customHeight="1" spans="1:25">
      <c r="A28" s="1" t="str">
        <f>IFERROR(__xludf.DUMMYFUNCTION("""COMPUTED_VALUE"""),"Wcam7IUzyZX9lcaMM9Wy1N")</f>
        <v>Wcam7IUzyZX9lcaMM9Wy1N</v>
      </c>
      <c r="B28" s="1">
        <f>IFERROR(__xludf.DUMMYFUNCTION("""COMPUTED_VALUE"""),27)</f>
        <v>27</v>
      </c>
      <c r="C28" s="1" t="str">
        <f>IFERROR(__xludf.DUMMYFUNCTION("""COMPUTED_VALUE"""),"DL27")</f>
        <v>DL27</v>
      </c>
      <c r="D28" s="2">
        <f>IFERROR(__xludf.DUMMYFUNCTION("""COMPUTED_VALUE"""),45107)</f>
        <v>45107</v>
      </c>
      <c r="E28" s="1" t="str">
        <f>IFERROR(__xludf.DUMMYFUNCTION("""COMPUTED_VALUE"""),"Additive Manufacturing Solutions")</f>
        <v>Additive Manufacturing Solutions</v>
      </c>
      <c r="F28" s="1" t="str">
        <f>IFERROR(__xludf.DUMMYFUNCTION("""COMPUTED_VALUE"""),"134")</f>
        <v>134</v>
      </c>
      <c r="G28" s="1" t="str">
        <f>IFERROR(__xludf.DUMMYFUNCTION("""COMPUTED_VALUE"""),"Various goods 3d resins, printers etc")</f>
        <v>Various goods 3d resins, printers etc</v>
      </c>
      <c r="H28" s="1">
        <f>IFERROR(__xludf.DUMMYFUNCTION("""COMPUTED_VALUE"""),41)</f>
        <v>41</v>
      </c>
      <c r="I28" s="1"/>
      <c r="J28" s="1" t="str">
        <f>IFERROR(__xludf.DUMMYFUNCTION("""COMPUTED_VALUE"""),"3")</f>
        <v>3</v>
      </c>
      <c r="K28" s="1">
        <f>IFERROR(__xludf.DUMMYFUNCTION("""COMPUTED_VALUE"""),586)</f>
        <v>586</v>
      </c>
      <c r="L28" s="1" t="str">
        <f>IFERROR(__xludf.DUMMYFUNCTION("""COMPUTED_VALUE"""),"Yes")</f>
        <v>Yes</v>
      </c>
      <c r="M28" s="1" t="str">
        <f>IFERROR(__xludf.DUMMYFUNCTION("""COMPUTED_VALUE"""),"Yes")</f>
        <v>Yes</v>
      </c>
      <c r="N28" s="1" t="str">
        <f>IFERROR(__xludf.DUMMYFUNCTION("""COMPUTED_VALUE"""),"China")</f>
        <v>China</v>
      </c>
      <c r="O28" s="1" t="str">
        <f>IFERROR(__xludf.DUMMYFUNCTION("""COMPUTED_VALUE"""),"Hong Kong")</f>
        <v>Hong Kong</v>
      </c>
      <c r="P28" s="1" t="str">
        <f>IFERROR(__xludf.DUMMYFUNCTION("""COMPUTED_VALUE"""),"South Africa")</f>
        <v>South Africa</v>
      </c>
      <c r="Q28" s="1" t="str">
        <f>IFERROR(__xludf.DUMMYFUNCTION("""COMPUTED_VALUE"""),"Johannesburg")</f>
        <v>Johannesburg</v>
      </c>
      <c r="R28" s="1" t="str">
        <f>IFERROR(__xludf.DUMMYFUNCTION("""COMPUTED_VALUE"""),"Air")</f>
        <v>Air</v>
      </c>
      <c r="S28" s="1" t="str">
        <f>IFERROR(__xludf.DUMMYFUNCTION("""COMPUTED_VALUE"""),"EXW")</f>
        <v>EXW</v>
      </c>
      <c r="T28" s="1" t="str">
        <f>IFERROR(__xludf.DUMMYFUNCTION("""COMPUTED_VALUE"""),"HONGKONG ELEGOO TECHNOLOGY LIMITED")</f>
        <v>HONGKONG ELEGOO TECHNOLOGY LIMITED</v>
      </c>
      <c r="U28" s="1"/>
      <c r="V28" s="1" t="str">
        <f>IFERROR(__xludf.DUMMYFUNCTION("""COMPUTED_VALUE"""),"jamal@elegoo.com")</f>
        <v>jamal@elegoo.com</v>
      </c>
      <c r="W28" s="1" t="str">
        <f>IFERROR(__xludf.DUMMYFUNCTION("""COMPUTED_VALUE"""),"86 13548621215")</f>
        <v>86 13548621215</v>
      </c>
      <c r="X28" s="1"/>
      <c r="Y28" s="1"/>
    </row>
    <row r="29" customHeight="1" spans="1:25">
      <c r="A29" s="1" t="str">
        <f>IFERROR(__xludf.DUMMYFUNCTION("""COMPUTED_VALUE"""),"Uteru25vK0kYRB0I7yAKe4")</f>
        <v>Uteru25vK0kYRB0I7yAKe4</v>
      </c>
      <c r="B29" s="1">
        <f>IFERROR(__xludf.DUMMYFUNCTION("""COMPUTED_VALUE"""),28)</f>
        <v>28</v>
      </c>
      <c r="C29" s="1" t="str">
        <f>IFERROR(__xludf.DUMMYFUNCTION("""COMPUTED_VALUE"""),"DL28")</f>
        <v>DL28</v>
      </c>
      <c r="D29" s="2">
        <f>IFERROR(__xludf.DUMMYFUNCTION("""COMPUTED_VALUE"""),45133)</f>
        <v>45133</v>
      </c>
      <c r="E29" s="1" t="str">
        <f>IFERROR(__xludf.DUMMYFUNCTION("""COMPUTED_VALUE"""),"Saul Dos Santos")</f>
        <v>Saul Dos Santos</v>
      </c>
      <c r="F29" s="1" t="str">
        <f>IFERROR(__xludf.DUMMYFUNCTION("""COMPUTED_VALUE"""),"29")</f>
        <v>29</v>
      </c>
      <c r="G29" s="1"/>
      <c r="H29" s="1">
        <f>IFERROR(__xludf.DUMMYFUNCTION("""COMPUTED_VALUE"""),1)</f>
        <v>1</v>
      </c>
      <c r="I29" s="1"/>
      <c r="J29" s="1">
        <f>IFERROR(__xludf.DUMMYFUNCTION("""COMPUTED_VALUE"""),20)</f>
        <v>20</v>
      </c>
      <c r="K29" s="1">
        <f>IFERROR(__xludf.DUMMYFUNCTION("""COMPUTED_VALUE"""),26500)</f>
        <v>26500</v>
      </c>
      <c r="L29" s="1" t="str">
        <f>IFERROR(__xludf.DUMMYFUNCTION("""COMPUTED_VALUE"""),"Yes")</f>
        <v>Yes</v>
      </c>
      <c r="M29" s="1" t="str">
        <f>IFERROR(__xludf.DUMMYFUNCTION("""COMPUTED_VALUE"""),"Yes")</f>
        <v>Yes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customHeight="1" spans="1:25">
      <c r="A30" s="1" t="str">
        <f>IFERROR(__xludf.DUMMYFUNCTION("""COMPUTED_VALUE"""),"8iPwu6204l7E71yxQEcNwL")</f>
        <v>8iPwu6204l7E71yxQEcNwL</v>
      </c>
      <c r="B30" s="1">
        <f>IFERROR(__xludf.DUMMYFUNCTION("""COMPUTED_VALUE"""),29)</f>
        <v>29</v>
      </c>
      <c r="C30" s="1" t="str">
        <f>IFERROR(__xludf.DUMMYFUNCTION("""COMPUTED_VALUE"""),"DL29")</f>
        <v>DL29</v>
      </c>
      <c r="D30" s="2">
        <f>IFERROR(__xludf.DUMMYFUNCTION("""COMPUTED_VALUE"""),45127)</f>
        <v>45127</v>
      </c>
      <c r="E30" s="1" t="str">
        <f>IFERROR(__xludf.DUMMYFUNCTION("""COMPUTED_VALUE"""),"Brent Badenhorst")</f>
        <v>Brent Badenhorst</v>
      </c>
      <c r="F30" s="1" t="str">
        <f>IFERROR(__xludf.DUMMYFUNCTION("""COMPUTED_VALUE"""),"82356")</f>
        <v>82356</v>
      </c>
      <c r="G30" s="1" t="str">
        <f>IFERROR(__xludf.DUMMYFUNCTION("""COMPUTED_VALUE"""),"Webbing Vest")</f>
        <v>Webbing Vest</v>
      </c>
      <c r="H30" s="1">
        <f>IFERROR(__xludf.DUMMYFUNCTION("""COMPUTED_VALUE"""),1)</f>
        <v>1</v>
      </c>
      <c r="I30" s="1"/>
      <c r="J30" s="1">
        <f>IFERROR(__xludf.DUMMYFUNCTION("""COMPUTED_VALUE"""),1)</f>
        <v>1</v>
      </c>
      <c r="K30" s="1">
        <f>IFERROR(__xludf.DUMMYFUNCTION("""COMPUTED_VALUE"""),148)</f>
        <v>148</v>
      </c>
      <c r="L30" s="1" t="str">
        <f>IFERROR(__xludf.DUMMYFUNCTION("""COMPUTED_VALUE"""),"Yes")</f>
        <v>Yes</v>
      </c>
      <c r="M30" s="1" t="str">
        <f>IFERROR(__xludf.DUMMYFUNCTION("""COMPUTED_VALUE"""),"Yes")</f>
        <v>Yes</v>
      </c>
      <c r="N30" s="1" t="str">
        <f>IFERROR(__xludf.DUMMYFUNCTION("""COMPUTED_VALUE"""),"China")</f>
        <v>China</v>
      </c>
      <c r="O30" s="1" t="str">
        <f>IFERROR(__xludf.DUMMYFUNCTION("""COMPUTED_VALUE"""),"Guangzhou")</f>
        <v>Guangzhou</v>
      </c>
      <c r="P30" s="1" t="str">
        <f>IFERROR(__xludf.DUMMYFUNCTION("""COMPUTED_VALUE"""),"South Africa")</f>
        <v>South Africa</v>
      </c>
      <c r="Q30" s="1" t="str">
        <f>IFERROR(__xludf.DUMMYFUNCTION("""COMPUTED_VALUE"""),"Durban")</f>
        <v>Durban</v>
      </c>
      <c r="R30" s="1" t="str">
        <f>IFERROR(__xludf.DUMMYFUNCTION("""COMPUTED_VALUE"""),"Sea")</f>
        <v>Sea</v>
      </c>
      <c r="S30" s="1" t="str">
        <f>IFERROR(__xludf.DUMMYFUNCTION("""COMPUTED_VALUE"""),"EXW")</f>
        <v>EXW</v>
      </c>
      <c r="T30" s="1" t="str">
        <f>IFERROR(__xludf.DUMMYFUNCTION("""COMPUTED_VALUE"""),"OBD LOGISTICS")</f>
        <v>OBD LOGISTICS</v>
      </c>
      <c r="U30" s="1"/>
      <c r="V30" s="1"/>
      <c r="W30" s="1"/>
      <c r="X30" s="1"/>
      <c r="Y30" s="1"/>
    </row>
    <row r="31" customHeight="1" spans="1:25">
      <c r="A31" s="1" t="str">
        <f>IFERROR(__xludf.DUMMYFUNCTION("""COMPUTED_VALUE"""),"vR4SP9PpKc3VrMqumfml3D")</f>
        <v>vR4SP9PpKc3VrMqumfml3D</v>
      </c>
      <c r="B31" s="1">
        <f>IFERROR(__xludf.DUMMYFUNCTION("""COMPUTED_VALUE"""),30)</f>
        <v>30</v>
      </c>
      <c r="C31" s="1" t="str">
        <f>IFERROR(__xludf.DUMMYFUNCTION("""COMPUTED_VALUE"""),"DL30")</f>
        <v>DL30</v>
      </c>
      <c r="D31" s="2">
        <f>IFERROR(__xludf.DUMMYFUNCTION("""COMPUTED_VALUE"""),45162)</f>
        <v>45162</v>
      </c>
      <c r="E31" s="1" t="str">
        <f>IFERROR(__xludf.DUMMYFUNCTION("""COMPUTED_VALUE"""),"Dirk Steenkamp")</f>
        <v>Dirk Steenkamp</v>
      </c>
      <c r="F31" s="1" t="str">
        <f>IFERROR(__xludf.DUMMYFUNCTION("""COMPUTED_VALUE"""),"23456")</f>
        <v>23456</v>
      </c>
      <c r="G31" s="1" t="str">
        <f>IFERROR(__xludf.DUMMYFUNCTION("""COMPUTED_VALUE"""),"CONCRETE BLANKENTS")</f>
        <v>CONCRETE BLANKENTS</v>
      </c>
      <c r="H31" s="1">
        <f>IFERROR(__xludf.DUMMYFUNCTION("""COMPUTED_VALUE"""),1)</f>
        <v>1</v>
      </c>
      <c r="I31" s="1"/>
      <c r="J31" s="1">
        <f>IFERROR(__xludf.DUMMYFUNCTION("""COMPUTED_VALUE"""),1.83)</f>
        <v>1.83</v>
      </c>
      <c r="K31" s="1">
        <f>IFERROR(__xludf.DUMMYFUNCTION("""COMPUTED_VALUE"""),1550)</f>
        <v>1550</v>
      </c>
      <c r="L31" s="1" t="str">
        <f>IFERROR(__xludf.DUMMYFUNCTION("""COMPUTED_VALUE"""),"Yes")</f>
        <v>Yes</v>
      </c>
      <c r="M31" s="1" t="str">
        <f>IFERROR(__xludf.DUMMYFUNCTION("""COMPUTED_VALUE"""),"Yes")</f>
        <v>Yes</v>
      </c>
      <c r="N31" s="1" t="str">
        <f>IFERROR(__xludf.DUMMYFUNCTION("""COMPUTED_VALUE"""),"China")</f>
        <v>China</v>
      </c>
      <c r="O31" s="1" t="str">
        <f>IFERROR(__xludf.DUMMYFUNCTION("""COMPUTED_VALUE"""),"Qingdao")</f>
        <v>Qingdao</v>
      </c>
      <c r="P31" s="1" t="str">
        <f>IFERROR(__xludf.DUMMYFUNCTION("""COMPUTED_VALUE"""),"South Africa")</f>
        <v>South Africa</v>
      </c>
      <c r="Q31" s="1" t="str">
        <f>IFERROR(__xludf.DUMMYFUNCTION("""COMPUTED_VALUE"""),"Durban")</f>
        <v>Durban</v>
      </c>
      <c r="R31" s="1" t="str">
        <f>IFERROR(__xludf.DUMMYFUNCTION("""COMPUTED_VALUE"""),"Sea")</f>
        <v>Sea</v>
      </c>
      <c r="S31" s="1" t="str">
        <f>IFERROR(__xludf.DUMMYFUNCTION("""COMPUTED_VALUE"""),"FOB")</f>
        <v>FOB</v>
      </c>
      <c r="T31" s="1" t="str">
        <f>IFERROR(__xludf.DUMMYFUNCTION("""COMPUTED_VALUE"""),"SHANDONG JINLING NEW MATERIALS CO., LTD")</f>
        <v>SHANDONG JINLING NEW MATERIALS CO., LTD</v>
      </c>
      <c r="U31" s="1"/>
      <c r="V31" s="1"/>
      <c r="W31" s="1"/>
      <c r="X31" s="1"/>
      <c r="Y31" s="1"/>
    </row>
    <row r="32" customHeight="1" spans="1:25">
      <c r="A32" s="1" t="str">
        <f>IFERROR(__xludf.DUMMYFUNCTION("""COMPUTED_VALUE"""),"i60oaB09UJrgiIhFQHC0f2")</f>
        <v>i60oaB09UJrgiIhFQHC0f2</v>
      </c>
      <c r="B32" s="1">
        <f>IFERROR(__xludf.DUMMYFUNCTION("""COMPUTED_VALUE"""),31)</f>
        <v>31</v>
      </c>
      <c r="C32" s="1" t="str">
        <f>IFERROR(__xludf.DUMMYFUNCTION("""COMPUTED_VALUE"""),"DL31")</f>
        <v>DL31</v>
      </c>
      <c r="D32" s="2">
        <f>IFERROR(__xludf.DUMMYFUNCTION("""COMPUTED_VALUE"""),45114)</f>
        <v>45114</v>
      </c>
      <c r="E32" s="1" t="str">
        <f>IFERROR(__xludf.DUMMYFUNCTION("""COMPUTED_VALUE"""),"Mothupi Kgopa")</f>
        <v>Mothupi Kgopa</v>
      </c>
      <c r="F32" s="1" t="str">
        <f>IFERROR(__xludf.DUMMYFUNCTION("""COMPUTED_VALUE"""),"185")</f>
        <v>185</v>
      </c>
      <c r="G32" s="1" t="str">
        <f>IFERROR(__xludf.DUMMYFUNCTION("""COMPUTED_VALUE"""),"Tablets")</f>
        <v>Tablets</v>
      </c>
      <c r="H32" s="1">
        <f>IFERROR(__xludf.DUMMYFUNCTION("""COMPUTED_VALUE"""),1)</f>
        <v>1</v>
      </c>
      <c r="I32" s="1"/>
      <c r="J32" s="1">
        <f>IFERROR(__xludf.DUMMYFUNCTION("""COMPUTED_VALUE"""),0.03)</f>
        <v>0.03</v>
      </c>
      <c r="K32" s="1">
        <f>IFERROR(__xludf.DUMMYFUNCTION("""COMPUTED_VALUE"""),8)</f>
        <v>8</v>
      </c>
      <c r="L32" s="1" t="str">
        <f>IFERROR(__xludf.DUMMYFUNCTION("""COMPUTED_VALUE"""),"Yes")</f>
        <v>Yes</v>
      </c>
      <c r="M32" s="1" t="str">
        <f>IFERROR(__xludf.DUMMYFUNCTION("""COMPUTED_VALUE"""),"Yes")</f>
        <v>Yes</v>
      </c>
      <c r="N32" s="1" t="str">
        <f>IFERROR(__xludf.DUMMYFUNCTION("""COMPUTED_VALUE"""),"China")</f>
        <v>China</v>
      </c>
      <c r="O32" s="1" t="str">
        <f>IFERROR(__xludf.DUMMYFUNCTION("""COMPUTED_VALUE"""),"Shenzhen")</f>
        <v>Shenzhen</v>
      </c>
      <c r="P32" s="1" t="str">
        <f>IFERROR(__xludf.DUMMYFUNCTION("""COMPUTED_VALUE"""),"South Africa")</f>
        <v>South Africa</v>
      </c>
      <c r="Q32" s="1" t="str">
        <f>IFERROR(__xludf.DUMMYFUNCTION("""COMPUTED_VALUE"""),"Durban")</f>
        <v>Durban</v>
      </c>
      <c r="R32" s="1" t="str">
        <f>IFERROR(__xludf.DUMMYFUNCTION("""COMPUTED_VALUE"""),"Air")</f>
        <v>Air</v>
      </c>
      <c r="S32" s="1" t="str">
        <f>IFERROR(__xludf.DUMMYFUNCTION("""COMPUTED_VALUE"""),"FCA")</f>
        <v>FCA</v>
      </c>
      <c r="T32" s="1" t="str">
        <f>IFERROR(__xludf.DUMMYFUNCTION("""COMPUTED_VALUE"""),"UPS")</f>
        <v>UPS</v>
      </c>
      <c r="U32" s="1"/>
      <c r="V32" s="1"/>
      <c r="W32" s="1"/>
      <c r="X32" s="1"/>
      <c r="Y32" s="1"/>
    </row>
    <row r="33" customHeight="1" spans="1: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customHeight="1" spans="1:25">
      <c r="A34" s="1" t="str">
        <f>IFERROR(__xludf.DUMMYFUNCTION("""COMPUTED_VALUE"""),"ed71CXv2nzF8tkb0atsT3O")</f>
        <v>ed71CXv2nzF8tkb0atsT3O</v>
      </c>
      <c r="B34" s="1">
        <f>IFERROR(__xludf.DUMMYFUNCTION("""COMPUTED_VALUE"""),33)</f>
        <v>33</v>
      </c>
      <c r="C34" s="1" t="str">
        <f>IFERROR(__xludf.DUMMYFUNCTION("""COMPUTED_VALUE"""),"DL33")</f>
        <v>DL33</v>
      </c>
      <c r="D34" s="2">
        <f>IFERROR(__xludf.DUMMYFUNCTION("""COMPUTED_VALUE"""),45085)</f>
        <v>45085</v>
      </c>
      <c r="E34" s="1" t="str">
        <f>IFERROR(__xludf.DUMMYFUNCTION("""COMPUTED_VALUE"""),"Thabo Manyengisa")</f>
        <v>Thabo Manyengisa</v>
      </c>
      <c r="F34" s="1" t="str">
        <f>IFERROR(__xludf.DUMMYFUNCTION("""COMPUTED_VALUE"""),"15")</f>
        <v>15</v>
      </c>
      <c r="G34" s="1" t="str">
        <f>IFERROR(__xludf.DUMMYFUNCTION("""COMPUTED_VALUE"""),"Egg storage box")</f>
        <v>Egg storage box</v>
      </c>
      <c r="H34" s="1">
        <f>IFERROR(__xludf.DUMMYFUNCTION("""COMPUTED_VALUE"""),1)</f>
        <v>1</v>
      </c>
      <c r="I34" s="1"/>
      <c r="J34" s="1"/>
      <c r="K34" s="1">
        <f>IFERROR(__xludf.DUMMYFUNCTION("""COMPUTED_VALUE"""),4)</f>
        <v>4</v>
      </c>
      <c r="L34" s="1" t="str">
        <f>IFERROR(__xludf.DUMMYFUNCTION("""COMPUTED_VALUE"""),"Yes")</f>
        <v>Yes</v>
      </c>
      <c r="M34" s="1" t="str">
        <f>IFERROR(__xludf.DUMMYFUNCTION("""COMPUTED_VALUE"""),"Yes")</f>
        <v>Yes</v>
      </c>
      <c r="N34" s="1" t="str">
        <f>IFERROR(__xludf.DUMMYFUNCTION("""COMPUTED_VALUE"""),"China")</f>
        <v>China</v>
      </c>
      <c r="O34" s="1" t="str">
        <f>IFERROR(__xludf.DUMMYFUNCTION("""COMPUTED_VALUE"""),"Guangzhou")</f>
        <v>Guangzhou</v>
      </c>
      <c r="P34" s="1" t="str">
        <f>IFERROR(__xludf.DUMMYFUNCTION("""COMPUTED_VALUE"""),"South Africa")</f>
        <v>South Africa</v>
      </c>
      <c r="Q34" s="1" t="str">
        <f>IFERROR(__xludf.DUMMYFUNCTION("""COMPUTED_VALUE"""),"Ebony Park, Ext Umhluthi Street, Ebony Park, Midrand, Gauteng 1682")</f>
        <v>Ebony Park, Ext Umhluthi Street, Ebony Park, Midrand, Gauteng 1682</v>
      </c>
      <c r="R34" s="1" t="str">
        <f>IFERROR(__xludf.DUMMYFUNCTION("""COMPUTED_VALUE"""),"Sea")</f>
        <v>Sea</v>
      </c>
      <c r="S34" s="1" t="str">
        <f>IFERROR(__xludf.DUMMYFUNCTION("""COMPUTED_VALUE"""),"FCA")</f>
        <v>FCA</v>
      </c>
      <c r="T34" s="1" t="str">
        <f>IFERROR(__xludf.DUMMYFUNCTION("""COMPUTED_VALUE"""),"OBD LOGISTICS CO., LIMITEDTHE FIRST FLOOR OF BUILDING 2, NO. 6,XINXING YIHENBAISHA, HUMEN TOWN,DONGGUAN,GUANGDONG000000CHINA")</f>
        <v>OBD LOGISTICS CO., LIMITEDTHE FIRST FLOOR OF BUILDING 2, NO. 6,XINXING YIHENBAISHA, HUMEN TOWN,DONGGUAN,GUANGDONG000000CHINA</v>
      </c>
      <c r="U34" s="1"/>
      <c r="V34" s="1"/>
      <c r="W34" s="1"/>
      <c r="X34" s="1"/>
      <c r="Y34" s="1"/>
    </row>
    <row r="35" customHeight="1" spans="1:25">
      <c r="A35" s="1" t="str">
        <f>IFERROR(__xludf.DUMMYFUNCTION("""COMPUTED_VALUE"""),"OywN078daBQ9vl5o6JmJTB")</f>
        <v>OywN078daBQ9vl5o6JmJTB</v>
      </c>
      <c r="B35" s="1">
        <f>IFERROR(__xludf.DUMMYFUNCTION("""COMPUTED_VALUE"""),34)</f>
        <v>34</v>
      </c>
      <c r="C35" s="1" t="str">
        <f>IFERROR(__xludf.DUMMYFUNCTION("""COMPUTED_VALUE"""),"DL34")</f>
        <v>DL34</v>
      </c>
      <c r="D35" s="2">
        <f>IFERROR(__xludf.DUMMYFUNCTION("""COMPUTED_VALUE"""),45100)</f>
        <v>45100</v>
      </c>
      <c r="E35" s="1" t="str">
        <f>IFERROR(__xludf.DUMMYFUNCTION("""COMPUTED_VALUE"""),"Mothupi Kgopa")</f>
        <v>Mothupi Kgopa</v>
      </c>
      <c r="F35" s="1" t="str">
        <f>IFERROR(__xludf.DUMMYFUNCTION("""COMPUTED_VALUE"""),"185")</f>
        <v>185</v>
      </c>
      <c r="G35" s="1" t="str">
        <f>IFERROR(__xludf.DUMMYFUNCTION("""COMPUTED_VALUE"""),"Various Goods")</f>
        <v>Various Goods</v>
      </c>
      <c r="H35" s="1"/>
      <c r="I35" s="1"/>
      <c r="J35" s="1">
        <f>IFERROR(__xludf.DUMMYFUNCTION("""COMPUTED_VALUE"""),4)</f>
        <v>4</v>
      </c>
      <c r="K35" s="1">
        <f>IFERROR(__xludf.DUMMYFUNCTION("""COMPUTED_VALUE"""),1)</f>
        <v>1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customHeight="1" spans="1:25">
      <c r="A36" s="1" t="str">
        <f>IFERROR(__xludf.DUMMYFUNCTION("""COMPUTED_VALUE"""),"kig3N3oeDxOlC3GS2b3KrR")</f>
        <v>kig3N3oeDxOlC3GS2b3KrR</v>
      </c>
      <c r="B36" s="1">
        <f>IFERROR(__xludf.DUMMYFUNCTION("""COMPUTED_VALUE"""),35)</f>
        <v>35</v>
      </c>
      <c r="C36" s="1" t="str">
        <f>IFERROR(__xludf.DUMMYFUNCTION("""COMPUTED_VALUE"""),"DL35")</f>
        <v>DL35</v>
      </c>
      <c r="D36" s="2">
        <f>IFERROR(__xludf.DUMMYFUNCTION("""COMPUTED_VALUE"""),45145)</f>
        <v>45145</v>
      </c>
      <c r="E36" s="1" t="str">
        <f>IFERROR(__xludf.DUMMYFUNCTION("""COMPUTED_VALUE"""),"Endulo Medical")</f>
        <v>Endulo Medical</v>
      </c>
      <c r="F36" s="1" t="str">
        <f>IFERROR(__xludf.DUMMYFUNCTION("""COMPUTED_VALUE"""),"73")</f>
        <v>73</v>
      </c>
      <c r="G36" s="1" t="str">
        <f>IFERROR(__xludf.DUMMYFUNCTION("""COMPUTED_VALUE"""),"2000ML SUCTION LINER WITH FILTER BLUE COVER")</f>
        <v>2000ML SUCTION LINER WITH FILTER BLUE COVER</v>
      </c>
      <c r="H36" s="1">
        <f>IFERROR(__xludf.DUMMYFUNCTION("""COMPUTED_VALUE"""),50)</f>
        <v>50</v>
      </c>
      <c r="I36" s="1"/>
      <c r="J36" s="1">
        <f>IFERROR(__xludf.DUMMYFUNCTION("""COMPUTED_VALUE"""),3.71)</f>
        <v>3.71</v>
      </c>
      <c r="K36" s="1">
        <f>IFERROR(__xludf.DUMMYFUNCTION("""COMPUTED_VALUE"""),340)</f>
        <v>340</v>
      </c>
      <c r="L36" s="1" t="str">
        <f>IFERROR(__xludf.DUMMYFUNCTION("""COMPUTED_VALUE"""),"Yes")</f>
        <v>Yes</v>
      </c>
      <c r="M36" s="1" t="str">
        <f>IFERROR(__xludf.DUMMYFUNCTION("""COMPUTED_VALUE"""),"Yes")</f>
        <v>Yes</v>
      </c>
      <c r="N36" s="1" t="str">
        <f>IFERROR(__xludf.DUMMYFUNCTION("""COMPUTED_VALUE"""),"CHINA")</f>
        <v>CHINA</v>
      </c>
      <c r="O36" s="1" t="str">
        <f>IFERROR(__xludf.DUMMYFUNCTION("""COMPUTED_VALUE"""),"SHANGAI")</f>
        <v>SHANGAI</v>
      </c>
      <c r="P36" s="1" t="str">
        <f>IFERROR(__xludf.DUMMYFUNCTION("""COMPUTED_VALUE"""),"SOUTH AFRICA")</f>
        <v>SOUTH AFRICA</v>
      </c>
      <c r="Q36" s="1" t="str">
        <f>IFERROR(__xludf.DUMMYFUNCTION("""COMPUTED_VALUE"""),"PRETORIA")</f>
        <v>PRETORIA</v>
      </c>
      <c r="R36" s="1" t="str">
        <f>IFERROR(__xludf.DUMMYFUNCTION("""COMPUTED_VALUE"""),"Sea")</f>
        <v>Sea</v>
      </c>
      <c r="S36" s="1" t="str">
        <f>IFERROR(__xludf.DUMMYFUNCTION("""COMPUTED_VALUE"""),"CIF")</f>
        <v>CIF</v>
      </c>
      <c r="T36" s="1" t="str">
        <f>IFERROR(__xludf.DUMMYFUNCTION("""COMPUTED_VALUE"""),"HANGZHOU ROLLMED CO.,LTD. ROOM 913, YUANMAO MANSION. NO.5 WEN'ER WEST RD HANGZHOU, ZHEJIANG PROVINCE, P.R OF CHINA.")</f>
        <v>HANGZHOU ROLLMED CO.,LTD. ROOM 913, YUANMAO MANSION. NO.5 WEN'ER WEST RD HANGZHOU, ZHEJIANG PROVINCE, P.R OF CHINA.</v>
      </c>
      <c r="U36" s="1"/>
      <c r="V36" s="1"/>
      <c r="W36" s="1"/>
      <c r="X36" s="1"/>
      <c r="Y36" s="1"/>
    </row>
    <row r="37" customHeight="1" spans="1:25">
      <c r="A37" s="1" t="str">
        <f>IFERROR(__xludf.DUMMYFUNCTION("""COMPUTED_VALUE"""),"iqtnTcndGSGAtCsAmiQ7bN")</f>
        <v>iqtnTcndGSGAtCsAmiQ7bN</v>
      </c>
      <c r="B37" s="1">
        <f>IFERROR(__xludf.DUMMYFUNCTION("""COMPUTED_VALUE"""),36)</f>
        <v>36</v>
      </c>
      <c r="C37" s="1" t="str">
        <f>IFERROR(__xludf.DUMMYFUNCTION("""COMPUTED_VALUE"""),"DL36")</f>
        <v>DL36</v>
      </c>
      <c r="D37" s="2">
        <f>IFERROR(__xludf.DUMMYFUNCTION("""COMPUTED_VALUE"""),45148)</f>
        <v>45148</v>
      </c>
      <c r="E37" s="1" t="str">
        <f>IFERROR(__xludf.DUMMYFUNCTION("""COMPUTED_VALUE"""),"Rapido Engineering")</f>
        <v>Rapido Engineering</v>
      </c>
      <c r="F37" s="1" t="str">
        <f>IFERROR(__xludf.DUMMYFUNCTION("""COMPUTED_VALUE"""),"367")</f>
        <v>367</v>
      </c>
      <c r="G37" s="1" t="str">
        <f>IFERROR(__xludf.DUMMYFUNCTION("""COMPUTED_VALUE"""),"Low Voltage Cable")</f>
        <v>Low Voltage Cable</v>
      </c>
      <c r="H37" s="1">
        <f>IFERROR(__xludf.DUMMYFUNCTION("""COMPUTED_VALUE"""),3)</f>
        <v>3</v>
      </c>
      <c r="I37" s="1"/>
      <c r="J37" s="1">
        <f>IFERROR(__xludf.DUMMYFUNCTION("""COMPUTED_VALUE"""),3)</f>
        <v>3</v>
      </c>
      <c r="K37" s="1">
        <f>IFERROR(__xludf.DUMMYFUNCTION("""COMPUTED_VALUE"""),1648)</f>
        <v>1648</v>
      </c>
      <c r="L37" s="1" t="str">
        <f>IFERROR(__xludf.DUMMYFUNCTION("""COMPUTED_VALUE"""),"Yes")</f>
        <v>Yes</v>
      </c>
      <c r="M37" s="1" t="str">
        <f>IFERROR(__xludf.DUMMYFUNCTION("""COMPUTED_VALUE"""),"Yes")</f>
        <v>Yes</v>
      </c>
      <c r="N37" s="1" t="str">
        <f>IFERROR(__xludf.DUMMYFUNCTION("""COMPUTED_VALUE"""),"China")</f>
        <v>China</v>
      </c>
      <c r="O37" s="1" t="str">
        <f>IFERROR(__xludf.DUMMYFUNCTION("""COMPUTED_VALUE"""),"Xiaxi Shaanxi")</f>
        <v>Xiaxi Shaanxi</v>
      </c>
      <c r="P37" s="1" t="str">
        <f>IFERROR(__xludf.DUMMYFUNCTION("""COMPUTED_VALUE"""),"South Africa")</f>
        <v>South Africa</v>
      </c>
      <c r="Q37" s="1" t="str">
        <f>IFERROR(__xludf.DUMMYFUNCTION("""COMPUTED_VALUE"""),"Durban")</f>
        <v>Durban</v>
      </c>
      <c r="R37" s="1" t="str">
        <f>IFERROR(__xludf.DUMMYFUNCTION("""COMPUTED_VALUE"""),"Sea")</f>
        <v>Sea</v>
      </c>
      <c r="S37" s="1" t="str">
        <f>IFERROR(__xludf.DUMMYFUNCTION("""COMPUTED_VALUE"""),"CIF")</f>
        <v>CIF</v>
      </c>
      <c r="T37" s="1" t="str">
        <f>IFERROR(__xludf.DUMMYFUNCTION("""COMPUTED_VALUE"""),"Shaanxi Woquan Trading co Ltd")</f>
        <v>Shaanxi Woquan Trading co Ltd</v>
      </c>
      <c r="U37" s="1"/>
      <c r="V37" s="1"/>
      <c r="W37" s="1"/>
      <c r="X37" s="1"/>
      <c r="Y37" s="1"/>
    </row>
    <row r="38" customHeight="1" spans="1:25">
      <c r="A38" s="1" t="str">
        <f>IFERROR(__xludf.DUMMYFUNCTION("""COMPUTED_VALUE"""),"gAGmPfJtQtyAWDt1ND1Mxs")</f>
        <v>gAGmPfJtQtyAWDt1ND1Mxs</v>
      </c>
      <c r="B38" s="1">
        <f>IFERROR(__xludf.DUMMYFUNCTION("""COMPUTED_VALUE"""),37)</f>
        <v>37</v>
      </c>
      <c r="C38" s="1" t="str">
        <f>IFERROR(__xludf.DUMMYFUNCTION("""COMPUTED_VALUE"""),"DL37")</f>
        <v>DL37</v>
      </c>
      <c r="D38" s="2">
        <f>IFERROR(__xludf.DUMMYFUNCTION("""COMPUTED_VALUE"""),45085)</f>
        <v>45085</v>
      </c>
      <c r="E38" s="1" t="str">
        <f>IFERROR(__xludf.DUMMYFUNCTION("""COMPUTED_VALUE"""),"Vuyani Zondi")</f>
        <v>Vuyani Zondi</v>
      </c>
      <c r="F38" s="1" t="str">
        <f>IFERROR(__xludf.DUMMYFUNCTION("""COMPUTED_VALUE"""),"159")</f>
        <v>159</v>
      </c>
      <c r="G38" s="1" t="str">
        <f>IFERROR(__xludf.DUMMYFUNCTION("""COMPUTED_VALUE"""),"Jaw Crusher Machine")</f>
        <v>Jaw Crusher Machine</v>
      </c>
      <c r="H38" s="1">
        <f>IFERROR(__xludf.DUMMYFUNCTION("""COMPUTED_VALUE"""),1)</f>
        <v>1</v>
      </c>
      <c r="I38" s="1"/>
      <c r="J38" s="1">
        <f>IFERROR(__xludf.DUMMYFUNCTION("""COMPUTED_VALUE"""),2.2)</f>
        <v>2.2</v>
      </c>
      <c r="K38" s="1">
        <f>IFERROR(__xludf.DUMMYFUNCTION("""COMPUTED_VALUE"""),1100)</f>
        <v>1100</v>
      </c>
      <c r="L38" s="1" t="str">
        <f>IFERROR(__xludf.DUMMYFUNCTION("""COMPUTED_VALUE"""),"Yes")</f>
        <v>Yes</v>
      </c>
      <c r="M38" s="1" t="str">
        <f>IFERROR(__xludf.DUMMYFUNCTION("""COMPUTED_VALUE"""),"Yes")</f>
        <v>Yes</v>
      </c>
      <c r="N38" s="1" t="str">
        <f>IFERROR(__xludf.DUMMYFUNCTION("""COMPUTED_VALUE"""),"China")</f>
        <v>China</v>
      </c>
      <c r="O38" s="1" t="str">
        <f>IFERROR(__xludf.DUMMYFUNCTION("""COMPUTED_VALUE"""),"Henan")</f>
        <v>Henan</v>
      </c>
      <c r="P38" s="1" t="str">
        <f>IFERROR(__xludf.DUMMYFUNCTION("""COMPUTED_VALUE"""),"South Africa")</f>
        <v>South Africa</v>
      </c>
      <c r="Q38" s="1" t="str">
        <f>IFERROR(__xludf.DUMMYFUNCTION("""COMPUTED_VALUE"""),"Port Elizabeth")</f>
        <v>Port Elizabeth</v>
      </c>
      <c r="R38" s="1" t="str">
        <f>IFERROR(__xludf.DUMMYFUNCTION("""COMPUTED_VALUE"""),"Sea")</f>
        <v>Sea</v>
      </c>
      <c r="S38" s="1" t="str">
        <f>IFERROR(__xludf.DUMMYFUNCTION("""COMPUTED_VALUE"""),"FOB")</f>
        <v>FOB</v>
      </c>
      <c r="T38" s="1" t="str">
        <f>IFERROR(__xludf.DUMMYFUNCTION("""COMPUTED_VALUE"""),"ZHENZHOU HANFA IMP &amp; EXP TRADING CO LTD")</f>
        <v>ZHENZHOU HANFA IMP &amp; EXP TRADING CO LTD</v>
      </c>
      <c r="U38" s="1"/>
      <c r="V38" s="1"/>
      <c r="W38" s="1">
        <f>IFERROR(__xludf.DUMMYFUNCTION("""COMPUTED_VALUE"""),8637155019184)</f>
        <v>8637155019184</v>
      </c>
      <c r="X38" s="1"/>
      <c r="Y38" s="1"/>
    </row>
    <row r="39" customHeight="1" spans="1: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customHeight="1" spans="1:25">
      <c r="A40" s="1" t="str">
        <f>IFERROR(__xludf.DUMMYFUNCTION("""COMPUTED_VALUE"""),"sy0JwJsLBAo0pFA7wZGpv4")</f>
        <v>sy0JwJsLBAo0pFA7wZGpv4</v>
      </c>
      <c r="B40" s="1">
        <f>IFERROR(__xludf.DUMMYFUNCTION("""COMPUTED_VALUE"""),39)</f>
        <v>39</v>
      </c>
      <c r="C40" s="1" t="str">
        <f>IFERROR(__xludf.DUMMYFUNCTION("""COMPUTED_VALUE"""),"DL39")</f>
        <v>DL39</v>
      </c>
      <c r="D40" s="2">
        <f>IFERROR(__xludf.DUMMYFUNCTION("""COMPUTED_VALUE"""),45149)</f>
        <v>45149</v>
      </c>
      <c r="E40" s="1" t="str">
        <f>IFERROR(__xludf.DUMMYFUNCTION("""COMPUTED_VALUE"""),"Ramu Global Investments Group (Pty) Ltd")</f>
        <v>Ramu Global Investments Group (Pty) Ltd</v>
      </c>
      <c r="F40" s="1" t="str">
        <f>IFERROR(__xludf.DUMMYFUNCTION("""COMPUTED_VALUE"""),"161")</f>
        <v>161</v>
      </c>
      <c r="G40" s="1" t="str">
        <f>IFERROR(__xludf.DUMMYFUNCTION("""COMPUTED_VALUE"""),"Motor Cycles Parts")</f>
        <v>Motor Cycles Parts</v>
      </c>
      <c r="H40" s="1">
        <f>IFERROR(__xludf.DUMMYFUNCTION("""COMPUTED_VALUE"""),74)</f>
        <v>74</v>
      </c>
      <c r="I40" s="1"/>
      <c r="J40" s="1">
        <f>IFERROR(__xludf.DUMMYFUNCTION("""COMPUTED_VALUE"""),5.5)</f>
        <v>5.5</v>
      </c>
      <c r="K40" s="1">
        <f>IFERROR(__xludf.DUMMYFUNCTION("""COMPUTED_VALUE"""),1400)</f>
        <v>1400</v>
      </c>
      <c r="L40" s="1" t="str">
        <f>IFERROR(__xludf.DUMMYFUNCTION("""COMPUTED_VALUE"""),"Yes")</f>
        <v>Yes</v>
      </c>
      <c r="M40" s="1" t="str">
        <f>IFERROR(__xludf.DUMMYFUNCTION("""COMPUTED_VALUE"""),"Yes")</f>
        <v>Yes</v>
      </c>
      <c r="N40" s="1"/>
      <c r="O40" s="1"/>
      <c r="P40" s="1"/>
      <c r="Q40" s="1"/>
      <c r="R40" s="1" t="str">
        <f>IFERROR(__xludf.DUMMYFUNCTION("""COMPUTED_VALUE"""),"Air")</f>
        <v>Air</v>
      </c>
      <c r="S40" s="1" t="str">
        <f>IFERROR(__xludf.DUMMYFUNCTION("""COMPUTED_VALUE"""),"FOB")</f>
        <v>FOB</v>
      </c>
      <c r="T40" s="1"/>
      <c r="U40" s="1"/>
      <c r="V40" s="1"/>
      <c r="W40" s="1"/>
      <c r="X40" s="1"/>
      <c r="Y40" s="1"/>
    </row>
    <row r="41" customHeight="1" spans="1:25">
      <c r="A41" s="1" t="str">
        <f>IFERROR(__xludf.DUMMYFUNCTION("""COMPUTED_VALUE"""),"1eS1AIUGEaKwR9d89IB3Qb")</f>
        <v>1eS1AIUGEaKwR9d89IB3Qb</v>
      </c>
      <c r="B41" s="1">
        <f>IFERROR(__xludf.DUMMYFUNCTION("""COMPUTED_VALUE"""),40)</f>
        <v>40</v>
      </c>
      <c r="C41" s="1" t="str">
        <f>IFERROR(__xludf.DUMMYFUNCTION("""COMPUTED_VALUE"""),"DL40")</f>
        <v>DL40</v>
      </c>
      <c r="D41" s="2">
        <f>IFERROR(__xludf.DUMMYFUNCTION("""COMPUTED_VALUE"""),45162)</f>
        <v>45162</v>
      </c>
      <c r="E41" s="1" t="str">
        <f>IFERROR(__xludf.DUMMYFUNCTION("""COMPUTED_VALUE"""),"Nkosana Motau")</f>
        <v>Nkosana Motau</v>
      </c>
      <c r="F41" s="1" t="str">
        <f>IFERROR(__xludf.DUMMYFUNCTION("""COMPUTED_VALUE"""),"187")</f>
        <v>187</v>
      </c>
      <c r="G41" s="1" t="str">
        <f>IFERROR(__xludf.DUMMYFUNCTION("""COMPUTED_VALUE"""),"Glass Bottle")</f>
        <v>Glass Bottle</v>
      </c>
      <c r="H41" s="1">
        <f>IFERROR(__xludf.DUMMYFUNCTION("""COMPUTED_VALUE"""),2)</f>
        <v>2</v>
      </c>
      <c r="I41" s="1"/>
      <c r="J41" s="1">
        <f>IFERROR(__xludf.DUMMYFUNCTION("""COMPUTED_VALUE"""),0.1)</f>
        <v>0.1</v>
      </c>
      <c r="K41" s="1">
        <f>IFERROR(__xludf.DUMMYFUNCTION("""COMPUTED_VALUE"""),26)</f>
        <v>26</v>
      </c>
      <c r="L41" s="1" t="str">
        <f>IFERROR(__xludf.DUMMYFUNCTION("""COMPUTED_VALUE"""),"Yes")</f>
        <v>Yes</v>
      </c>
      <c r="M41" s="1" t="str">
        <f>IFERROR(__xludf.DUMMYFUNCTION("""COMPUTED_VALUE"""),"Yes")</f>
        <v>Yes</v>
      </c>
      <c r="N41" s="1" t="str">
        <f>IFERROR(__xludf.DUMMYFUNCTION("""COMPUTED_VALUE"""),"China")</f>
        <v>China</v>
      </c>
      <c r="O41" s="1" t="str">
        <f>IFERROR(__xludf.DUMMYFUNCTION("""COMPUTED_VALUE"""),"Guangzhou")</f>
        <v>Guangzhou</v>
      </c>
      <c r="P41" s="1" t="str">
        <f>IFERROR(__xludf.DUMMYFUNCTION("""COMPUTED_VALUE"""),"South Africa")</f>
        <v>South Africa</v>
      </c>
      <c r="Q41" s="1" t="str">
        <f>IFERROR(__xludf.DUMMYFUNCTION("""COMPUTED_VALUE"""),"Pretoria")</f>
        <v>Pretoria</v>
      </c>
      <c r="R41" s="1" t="str">
        <f>IFERROR(__xludf.DUMMYFUNCTION("""COMPUTED_VALUE"""),"Air")</f>
        <v>Air</v>
      </c>
      <c r="S41" s="1" t="str">
        <f>IFERROR(__xludf.DUMMYFUNCTION("""COMPUTED_VALUE"""),"FCA")</f>
        <v>FCA</v>
      </c>
      <c r="T41" s="1" t="str">
        <f>IFERROR(__xludf.DUMMYFUNCTION("""COMPUTED_VALUE"""),"OBD Logistics Co.,ltd")</f>
        <v>OBD Logistics Co.,ltd</v>
      </c>
      <c r="U41" s="1"/>
      <c r="V41" s="1" t="str">
        <f>IFERROR(__xludf.DUMMYFUNCTION("""COMPUTED_VALUE"""),"obd-sales019@obdlogistics.com")</f>
        <v>obd-sales019@obdlogistics.com</v>
      </c>
      <c r="W41" s="1">
        <f>IFERROR(__xludf.DUMMYFUNCTION("""COMPUTED_VALUE"""),8613347315457)</f>
        <v>8613347315457</v>
      </c>
      <c r="X41" s="1"/>
      <c r="Y41" s="1"/>
    </row>
    <row r="42" customHeight="1" spans="1:25">
      <c r="A42" s="1" t="str">
        <f>IFERROR(__xludf.DUMMYFUNCTION("""COMPUTED_VALUE"""),"3ddM8R3BDy6E47C3f34bUX")</f>
        <v>3ddM8R3BDy6E47C3f34bUX</v>
      </c>
      <c r="B42" s="1">
        <f>IFERROR(__xludf.DUMMYFUNCTION("""COMPUTED_VALUE"""),41)</f>
        <v>41</v>
      </c>
      <c r="C42" s="1" t="str">
        <f>IFERROR(__xludf.DUMMYFUNCTION("""COMPUTED_VALUE"""),"DL41")</f>
        <v>DL41</v>
      </c>
      <c r="D42" s="2">
        <f>IFERROR(__xludf.DUMMYFUNCTION("""COMPUTED_VALUE"""),45131)</f>
        <v>45131</v>
      </c>
      <c r="E42" s="1" t="str">
        <f>IFERROR(__xludf.DUMMYFUNCTION("""COMPUTED_VALUE"""),"Shedreck")</f>
        <v>Shedreck</v>
      </c>
      <c r="F42" s="1" t="str">
        <f>IFERROR(__xludf.DUMMYFUNCTION("""COMPUTED_VALUE"""),"184")</f>
        <v>184</v>
      </c>
      <c r="G42" s="1" t="str">
        <f>IFERROR(__xludf.DUMMYFUNCTION("""COMPUTED_VALUE"""),"Manual Recliner")</f>
        <v>Manual Recliner</v>
      </c>
      <c r="H42" s="1">
        <f>IFERROR(__xludf.DUMMYFUNCTION("""COMPUTED_VALUE"""),34)</f>
        <v>34</v>
      </c>
      <c r="I42" s="1"/>
      <c r="J42" s="1">
        <f>IFERROR(__xludf.DUMMYFUNCTION("""COMPUTED_VALUE"""),1)</f>
        <v>1</v>
      </c>
      <c r="K42" s="1">
        <f>IFERROR(__xludf.DUMMYFUNCTION("""COMPUTED_VALUE"""),459)</f>
        <v>459</v>
      </c>
      <c r="L42" s="1"/>
      <c r="M42" s="1"/>
      <c r="N42" s="1"/>
      <c r="O42" s="1"/>
      <c r="P42" s="1"/>
      <c r="Q42" s="1"/>
      <c r="R42" s="1" t="str">
        <f>IFERROR(__xludf.DUMMYFUNCTION("""COMPUTED_VALUE"""),"Sea")</f>
        <v>Sea</v>
      </c>
      <c r="S42" s="1" t="str">
        <f>IFERROR(__xludf.DUMMYFUNCTION("""COMPUTED_VALUE"""),"FCA")</f>
        <v>FCA</v>
      </c>
      <c r="T42" s="1"/>
      <c r="U42" s="1"/>
      <c r="V42" s="1"/>
      <c r="W42" s="1"/>
      <c r="X42" s="1"/>
      <c r="Y42" s="1"/>
    </row>
    <row r="43" customHeight="1" spans="1:25">
      <c r="A43" s="1" t="str">
        <f>IFERROR(__xludf.DUMMYFUNCTION("""COMPUTED_VALUE"""),"iM3pz09uvk0oJj9tWx4ock")</f>
        <v>iM3pz09uvk0oJj9tWx4ock</v>
      </c>
      <c r="B43" s="1">
        <f>IFERROR(__xludf.DUMMYFUNCTION("""COMPUTED_VALUE"""),42)</f>
        <v>42</v>
      </c>
      <c r="C43" s="1" t="str">
        <f>IFERROR(__xludf.DUMMYFUNCTION("""COMPUTED_VALUE"""),"DL42")</f>
        <v>DL42</v>
      </c>
      <c r="D43" s="2">
        <f>IFERROR(__xludf.DUMMYFUNCTION("""COMPUTED_VALUE"""),45149)</f>
        <v>45149</v>
      </c>
      <c r="E43" s="1" t="str">
        <f>IFERROR(__xludf.DUMMYFUNCTION("""COMPUTED_VALUE"""),"Owen Phiri")</f>
        <v>Owen Phiri</v>
      </c>
      <c r="F43" s="1" t="str">
        <f>IFERROR(__xludf.DUMMYFUNCTION("""COMPUTED_VALUE"""),"548")</f>
        <v>548</v>
      </c>
      <c r="G43" s="1" t="str">
        <f>IFERROR(__xludf.DUMMYFUNCTION("""COMPUTED_VALUE"""),"CONTROL VALVE")</f>
        <v>CONTROL VALVE</v>
      </c>
      <c r="H43" s="1">
        <f>IFERROR(__xludf.DUMMYFUNCTION("""COMPUTED_VALUE"""),1)</f>
        <v>1</v>
      </c>
      <c r="I43" s="1"/>
      <c r="J43" s="1">
        <f>IFERROR(__xludf.DUMMYFUNCTION("""COMPUTED_VALUE"""),0.1)</f>
        <v>0.1</v>
      </c>
      <c r="K43" s="1">
        <f>IFERROR(__xludf.DUMMYFUNCTION("""COMPUTED_VALUE"""),180)</f>
        <v>180</v>
      </c>
      <c r="L43" s="1"/>
      <c r="M43" s="1"/>
      <c r="N43" s="1"/>
      <c r="O43" s="1"/>
      <c r="P43" s="1"/>
      <c r="Q43" s="1"/>
      <c r="R43" s="1" t="str">
        <f>IFERROR(__xludf.DUMMYFUNCTION("""COMPUTED_VALUE"""),"Sea")</f>
        <v>Sea</v>
      </c>
      <c r="S43" s="1" t="str">
        <f>IFERROR(__xludf.DUMMYFUNCTION("""COMPUTED_VALUE"""),"FCA")</f>
        <v>FCA</v>
      </c>
      <c r="T43" s="1"/>
      <c r="U43" s="1"/>
      <c r="V43" s="1"/>
      <c r="W43" s="1"/>
      <c r="X43" s="1"/>
      <c r="Y43" s="1"/>
    </row>
    <row r="44" customHeight="1" spans="1:25">
      <c r="A44" s="1" t="str">
        <f>IFERROR(__xludf.DUMMYFUNCTION("""COMPUTED_VALUE"""),"T67L5fCM7BOhsXHG1UEYmF")</f>
        <v>T67L5fCM7BOhsXHG1UEYmF</v>
      </c>
      <c r="B44" s="1">
        <f>IFERROR(__xludf.DUMMYFUNCTION("""COMPUTED_VALUE"""),43)</f>
        <v>43</v>
      </c>
      <c r="C44" s="1" t="str">
        <f>IFERROR(__xludf.DUMMYFUNCTION("""COMPUTED_VALUE"""),"DL43")</f>
        <v>DL43</v>
      </c>
      <c r="D44" s="2">
        <f>IFERROR(__xludf.DUMMYFUNCTION("""COMPUTED_VALUE"""),45107)</f>
        <v>45107</v>
      </c>
      <c r="E44" s="1" t="str">
        <f>IFERROR(__xludf.DUMMYFUNCTION("""COMPUTED_VALUE"""),"Mothupi Kgopa")</f>
        <v>Mothupi Kgopa</v>
      </c>
      <c r="F44" s="1" t="str">
        <f>IFERROR(__xludf.DUMMYFUNCTION("""COMPUTED_VALUE"""),"185")</f>
        <v>185</v>
      </c>
      <c r="G44" s="1" t="str">
        <f>IFERROR(__xludf.DUMMYFUNCTION("""COMPUTED_VALUE"""),"Wintouch Tablets")</f>
        <v>Wintouch Tablets</v>
      </c>
      <c r="H44" s="1">
        <f>IFERROR(__xludf.DUMMYFUNCTION("""COMPUTED_VALUE"""),3)</f>
        <v>3</v>
      </c>
      <c r="I44" s="1"/>
      <c r="J44" s="1">
        <f>IFERROR(__xludf.DUMMYFUNCTION("""COMPUTED_VALUE"""),0.1)</f>
        <v>0.1</v>
      </c>
      <c r="K44" s="1">
        <f>IFERROR(__xludf.DUMMYFUNCTION("""COMPUTED_VALUE"""),45)</f>
        <v>45</v>
      </c>
      <c r="L44" s="1" t="str">
        <f>IFERROR(__xludf.DUMMYFUNCTION("""COMPUTED_VALUE"""),"Yes")</f>
        <v>Yes</v>
      </c>
      <c r="M44" s="1" t="str">
        <f>IFERROR(__xludf.DUMMYFUNCTION("""COMPUTED_VALUE"""),"Yes")</f>
        <v>Yes</v>
      </c>
      <c r="N44" s="1" t="str">
        <f>IFERROR(__xludf.DUMMYFUNCTION("""COMPUTED_VALUE"""),"China")</f>
        <v>China</v>
      </c>
      <c r="O44" s="1" t="str">
        <f>IFERROR(__xludf.DUMMYFUNCTION("""COMPUTED_VALUE"""),"Shenzhen")</f>
        <v>Shenzhen</v>
      </c>
      <c r="P44" s="1" t="str">
        <f>IFERROR(__xludf.DUMMYFUNCTION("""COMPUTED_VALUE"""),"South Africa")</f>
        <v>South Africa</v>
      </c>
      <c r="Q44" s="1" t="str">
        <f>IFERROR(__xludf.DUMMYFUNCTION("""COMPUTED_VALUE"""),"Johannesburg")</f>
        <v>Johannesburg</v>
      </c>
      <c r="R44" s="1" t="str">
        <f>IFERROR(__xludf.DUMMYFUNCTION("""COMPUTED_VALUE"""),"Air")</f>
        <v>Air</v>
      </c>
      <c r="S44" s="1" t="str">
        <f>IFERROR(__xludf.DUMMYFUNCTION("""COMPUTED_VALUE"""),"FCA")</f>
        <v>FCA</v>
      </c>
      <c r="T44" s="1" t="str">
        <f>IFERROR(__xludf.DUMMYFUNCTION("""COMPUTED_VALUE"""),"OBD Logistics Co.,ltd")</f>
        <v>OBD Logistics Co.,ltd</v>
      </c>
      <c r="U44" s="1"/>
      <c r="V44" s="1"/>
      <c r="W44" s="1"/>
      <c r="X44" s="1"/>
      <c r="Y44" s="1"/>
    </row>
    <row r="45" customHeight="1" spans="1:25">
      <c r="A45" s="1" t="str">
        <f>IFERROR(__xludf.DUMMYFUNCTION("""COMPUTED_VALUE"""),"I19e6So6MQTqdy9nYFzLMV")</f>
        <v>I19e6So6MQTqdy9nYFzLMV</v>
      </c>
      <c r="B45" s="1">
        <f>IFERROR(__xludf.DUMMYFUNCTION("""COMPUTED_VALUE"""),44)</f>
        <v>44</v>
      </c>
      <c r="C45" s="1" t="str">
        <f>IFERROR(__xludf.DUMMYFUNCTION("""COMPUTED_VALUE"""),"DL44")</f>
        <v>DL44</v>
      </c>
      <c r="D45" s="2">
        <f>IFERROR(__xludf.DUMMYFUNCTION("""COMPUTED_VALUE"""),45161)</f>
        <v>45161</v>
      </c>
      <c r="E45" s="1" t="str">
        <f>IFERROR(__xludf.DUMMYFUNCTION("""COMPUTED_VALUE"""),"Lwams Africa Group")</f>
        <v>Lwams Africa Group</v>
      </c>
      <c r="F45" s="1" t="str">
        <f>IFERROR(__xludf.DUMMYFUNCTION("""COMPUTED_VALUE"""),"55")</f>
        <v>55</v>
      </c>
      <c r="G45" s="1" t="str">
        <f>IFERROR(__xludf.DUMMYFUNCTION("""COMPUTED_VALUE"""),"Mold")</f>
        <v>Mold</v>
      </c>
      <c r="H45" s="1">
        <f>IFERROR(__xludf.DUMMYFUNCTION("""COMPUTED_VALUE"""),4)</f>
        <v>4</v>
      </c>
      <c r="I45" s="1"/>
      <c r="J45" s="1">
        <f>IFERROR(__xludf.DUMMYFUNCTION("""COMPUTED_VALUE"""),0.9)</f>
        <v>0.9</v>
      </c>
      <c r="K45" s="1">
        <f>IFERROR(__xludf.DUMMYFUNCTION("""COMPUTED_VALUE"""),2145)</f>
        <v>2145</v>
      </c>
      <c r="L45" s="1" t="str">
        <f>IFERROR(__xludf.DUMMYFUNCTION("""COMPUTED_VALUE"""),"Yes")</f>
        <v>Yes</v>
      </c>
      <c r="M45" s="1" t="str">
        <f>IFERROR(__xludf.DUMMYFUNCTION("""COMPUTED_VALUE"""),"Yes")</f>
        <v>Yes</v>
      </c>
      <c r="N45" s="1" t="str">
        <f>IFERROR(__xludf.DUMMYFUNCTION("""COMPUTED_VALUE"""),"China")</f>
        <v>China</v>
      </c>
      <c r="O45" s="1" t="str">
        <f>IFERROR(__xludf.DUMMYFUNCTION("""COMPUTED_VALUE"""),"Shenzhen")</f>
        <v>Shenzhen</v>
      </c>
      <c r="P45" s="1" t="str">
        <f>IFERROR(__xludf.DUMMYFUNCTION("""COMPUTED_VALUE"""),"South Africa")</f>
        <v>South Africa</v>
      </c>
      <c r="Q45" s="1" t="str">
        <f>IFERROR(__xludf.DUMMYFUNCTION("""COMPUTED_VALUE"""),"Johannesburg")</f>
        <v>Johannesburg</v>
      </c>
      <c r="R45" s="1" t="str">
        <f>IFERROR(__xludf.DUMMYFUNCTION("""COMPUTED_VALUE"""),"Sea")</f>
        <v>Sea</v>
      </c>
      <c r="S45" s="1" t="str">
        <f>IFERROR(__xludf.DUMMYFUNCTION("""COMPUTED_VALUE"""),"FCA")</f>
        <v>FCA</v>
      </c>
      <c r="T45" s="1" t="str">
        <f>IFERROR(__xludf.DUMMYFUNCTION("""COMPUTED_VALUE"""),"OBD LOGISTICS CO., LIMITED")</f>
        <v>OBD LOGISTICS CO., LIMITED</v>
      </c>
      <c r="U45" s="1"/>
      <c r="V45" s="1"/>
      <c r="W45" s="1"/>
      <c r="X45" s="1"/>
      <c r="Y45" s="1"/>
    </row>
    <row r="46" customHeight="1" spans="1:25">
      <c r="A46" s="1" t="str">
        <f>IFERROR(__xludf.DUMMYFUNCTION("""COMPUTED_VALUE"""),"e8E2bzr4KQ9dRQK0ERDrJN")</f>
        <v>e8E2bzr4KQ9dRQK0ERDrJN</v>
      </c>
      <c r="B46" s="1">
        <f>IFERROR(__xludf.DUMMYFUNCTION("""COMPUTED_VALUE"""),45)</f>
        <v>45</v>
      </c>
      <c r="C46" s="1" t="str">
        <f>IFERROR(__xludf.DUMMYFUNCTION("""COMPUTED_VALUE"""),"DL45")</f>
        <v>DL45</v>
      </c>
      <c r="D46" s="2">
        <f>IFERROR(__xludf.DUMMYFUNCTION("""COMPUTED_VALUE"""),45161)</f>
        <v>45161</v>
      </c>
      <c r="E46" s="1" t="str">
        <f>IFERROR(__xludf.DUMMYFUNCTION("""COMPUTED_VALUE"""),"Top Tech Catering")</f>
        <v>Top Tech Catering</v>
      </c>
      <c r="F46" s="1" t="str">
        <f>IFERROR(__xludf.DUMMYFUNCTION("""COMPUTED_VALUE"""),"668")</f>
        <v>668</v>
      </c>
      <c r="G46" s="1" t="str">
        <f>IFERROR(__xludf.DUMMYFUNCTION("""COMPUTED_VALUE"""),"Catering Equipment")</f>
        <v>Catering Equipment</v>
      </c>
      <c r="H46" s="1">
        <f>IFERROR(__xludf.DUMMYFUNCTION("""COMPUTED_VALUE"""),97)</f>
        <v>97</v>
      </c>
      <c r="I46" s="1"/>
      <c r="J46" s="1">
        <f>IFERROR(__xludf.DUMMYFUNCTION("""COMPUTED_VALUE"""),67.58)</f>
        <v>67.58</v>
      </c>
      <c r="K46" s="1">
        <f>IFERROR(__xludf.DUMMYFUNCTION("""COMPUTED_VALUE"""),9310)</f>
        <v>9310</v>
      </c>
      <c r="L46" s="1" t="str">
        <f>IFERROR(__xludf.DUMMYFUNCTION("""COMPUTED_VALUE"""),"Yes")</f>
        <v>Yes</v>
      </c>
      <c r="M46" s="1" t="str">
        <f>IFERROR(__xludf.DUMMYFUNCTION("""COMPUTED_VALUE"""),"Yes")</f>
        <v>Yes</v>
      </c>
      <c r="N46" s="1" t="str">
        <f>IFERROR(__xludf.DUMMYFUNCTION("""COMPUTED_VALUE"""),"China")</f>
        <v>China</v>
      </c>
      <c r="O46" s="1" t="str">
        <f>IFERROR(__xludf.DUMMYFUNCTION("""COMPUTED_VALUE"""),"Shenzhen")</f>
        <v>Shenzhen</v>
      </c>
      <c r="P46" s="1" t="str">
        <f>IFERROR(__xludf.DUMMYFUNCTION("""COMPUTED_VALUE"""),"South Africa")</f>
        <v>South Africa</v>
      </c>
      <c r="Q46" s="1" t="str">
        <f>IFERROR(__xludf.DUMMYFUNCTION("""COMPUTED_VALUE"""),"Johannesburg")</f>
        <v>Johannesburg</v>
      </c>
      <c r="R46" s="1" t="str">
        <f>IFERROR(__xludf.DUMMYFUNCTION("""COMPUTED_VALUE"""),"Sea")</f>
        <v>Sea</v>
      </c>
      <c r="S46" s="1" t="str">
        <f>IFERROR(__xludf.DUMMYFUNCTION("""COMPUTED_VALUE"""),"FCA")</f>
        <v>FCA</v>
      </c>
      <c r="T46" s="1" t="str">
        <f>IFERROR(__xludf.DUMMYFUNCTION("""COMPUTED_VALUE"""),"GUANGZHOU WEI GE MACHINERY EQUIPMENT CO., LTD")</f>
        <v>GUANGZHOU WEI GE MACHINERY EQUIPMENT CO., LTD</v>
      </c>
      <c r="U46" s="1"/>
      <c r="V46" s="1"/>
      <c r="W46" s="1"/>
      <c r="X46" s="1"/>
      <c r="Y46" s="1"/>
    </row>
    <row r="47" customHeight="1" spans="1:25">
      <c r="A47" s="1" t="str">
        <f>IFERROR(__xludf.DUMMYFUNCTION("""COMPUTED_VALUE"""),"7kytR7138phivRXNqeL8UL")</f>
        <v>7kytR7138phivRXNqeL8UL</v>
      </c>
      <c r="B47" s="1">
        <f>IFERROR(__xludf.DUMMYFUNCTION("""COMPUTED_VALUE"""),46)</f>
        <v>46</v>
      </c>
      <c r="C47" s="1" t="str">
        <f>IFERROR(__xludf.DUMMYFUNCTION("""COMPUTED_VALUE"""),"DL46")</f>
        <v>DL46</v>
      </c>
      <c r="D47" s="2">
        <f>IFERROR(__xludf.DUMMYFUNCTION("""COMPUTED_VALUE"""),45160)</f>
        <v>45160</v>
      </c>
      <c r="E47" s="1" t="str">
        <f>IFERROR(__xludf.DUMMYFUNCTION("""COMPUTED_VALUE"""),"Filter Industries")</f>
        <v>Filter Industries</v>
      </c>
      <c r="F47" s="1" t="str">
        <f>IFERROR(__xludf.DUMMYFUNCTION("""COMPUTED_VALUE"""),"877")</f>
        <v>877</v>
      </c>
      <c r="G47" s="1" t="str">
        <f>IFERROR(__xludf.DUMMYFUNCTION("""COMPUTED_VALUE"""),"WATER TREATMENT EQUIPMENT MIXING EQUIPMENT")</f>
        <v>WATER TREATMENT EQUIPMENT MIXING EQUIPMENT</v>
      </c>
      <c r="H47" s="1">
        <f>IFERROR(__xludf.DUMMYFUNCTION("""COMPUTED_VALUE"""),9)</f>
        <v>9</v>
      </c>
      <c r="I47" s="1"/>
      <c r="J47" s="1">
        <f>IFERROR(__xludf.DUMMYFUNCTION("""COMPUTED_VALUE"""),25)</f>
        <v>25</v>
      </c>
      <c r="K47" s="1">
        <f>IFERROR(__xludf.DUMMYFUNCTION("""COMPUTED_VALUE"""),6510)</f>
        <v>6510</v>
      </c>
      <c r="L47" s="1" t="str">
        <f>IFERROR(__xludf.DUMMYFUNCTION("""COMPUTED_VALUE"""),"Yes")</f>
        <v>Yes</v>
      </c>
      <c r="M47" s="1" t="str">
        <f>IFERROR(__xludf.DUMMYFUNCTION("""COMPUTED_VALUE"""),"Yes")</f>
        <v>Yes</v>
      </c>
      <c r="N47" s="1" t="str">
        <f>IFERROR(__xludf.DUMMYFUNCTION("""COMPUTED_VALUE"""),"China")</f>
        <v>China</v>
      </c>
      <c r="O47" s="1" t="str">
        <f>IFERROR(__xludf.DUMMYFUNCTION("""COMPUTED_VALUE"""),"Shenzhen")</f>
        <v>Shenzhen</v>
      </c>
      <c r="P47" s="1" t="str">
        <f>IFERROR(__xludf.DUMMYFUNCTION("""COMPUTED_VALUE"""),"South Africa")</f>
        <v>South Africa</v>
      </c>
      <c r="Q47" s="1" t="str">
        <f>IFERROR(__xludf.DUMMYFUNCTION("""COMPUTED_VALUE"""),"Johannesburg")</f>
        <v>Johannesburg</v>
      </c>
      <c r="R47" s="1" t="str">
        <f>IFERROR(__xludf.DUMMYFUNCTION("""COMPUTED_VALUE"""),"Sea")</f>
        <v>Sea</v>
      </c>
      <c r="S47" s="1" t="str">
        <f>IFERROR(__xludf.DUMMYFUNCTION("""COMPUTED_VALUE"""),"FCA")</f>
        <v>FCA</v>
      </c>
      <c r="T47" s="1" t="str">
        <f>IFERROR(__xludf.DUMMYFUNCTION("""COMPUTED_VALUE"""),"SHENZHEN NIMBUS SHIPPING CO.,LTD")</f>
        <v>SHENZHEN NIMBUS SHIPPING CO.,LTD</v>
      </c>
      <c r="U47" s="1"/>
      <c r="V47" s="1"/>
      <c r="W47" s="1"/>
      <c r="X47" s="1"/>
      <c r="Y47" s="1"/>
    </row>
    <row r="48" customHeight="1" spans="1:25">
      <c r="A48" s="1" t="str">
        <f>IFERROR(__xludf.DUMMYFUNCTION("""COMPUTED_VALUE"""),"K4KfDXRkoPgjD46zdZjzEn")</f>
        <v>K4KfDXRkoPgjD46zdZjzEn</v>
      </c>
      <c r="B48" s="1">
        <f>IFERROR(__xludf.DUMMYFUNCTION("""COMPUTED_VALUE"""),47)</f>
        <v>47</v>
      </c>
      <c r="C48" s="1" t="str">
        <f>IFERROR(__xludf.DUMMYFUNCTION("""COMPUTED_VALUE"""),"DL47")</f>
        <v>DL47</v>
      </c>
      <c r="D48" s="2">
        <f>IFERROR(__xludf.DUMMYFUNCTION("""COMPUTED_VALUE"""),45170)</f>
        <v>45170</v>
      </c>
      <c r="E48" s="1" t="str">
        <f>IFERROR(__xludf.DUMMYFUNCTION("""COMPUTED_VALUE"""),"Supra Health Care")</f>
        <v>Supra Health Care</v>
      </c>
      <c r="F48" s="1" t="str">
        <f>IFERROR(__xludf.DUMMYFUNCTION("""COMPUTED_VALUE"""),"678")</f>
        <v>678</v>
      </c>
      <c r="G48" s="1" t="str">
        <f>IFERROR(__xludf.DUMMYFUNCTION("""COMPUTED_VALUE"""),"COMPRESS HEATER MEDIUM etc")</f>
        <v>COMPRESS HEATER MEDIUM etc</v>
      </c>
      <c r="H48" s="1">
        <f>IFERROR(__xludf.DUMMYFUNCTION("""COMPUTED_VALUE"""),2)</f>
        <v>2</v>
      </c>
      <c r="I48" s="1"/>
      <c r="J48" s="1">
        <f>IFERROR(__xludf.DUMMYFUNCTION("""COMPUTED_VALUE"""),2.57)</f>
        <v>2.57</v>
      </c>
      <c r="K48" s="1">
        <f>IFERROR(__xludf.DUMMYFUNCTION("""COMPUTED_VALUE"""),278)</f>
        <v>278</v>
      </c>
      <c r="L48" s="1" t="str">
        <f>IFERROR(__xludf.DUMMYFUNCTION("""COMPUTED_VALUE"""),"Yes")</f>
        <v>Yes</v>
      </c>
      <c r="M48" s="1" t="str">
        <f>IFERROR(__xludf.DUMMYFUNCTION("""COMPUTED_VALUE"""),"Yes")</f>
        <v>Yes</v>
      </c>
      <c r="N48" s="1" t="str">
        <f>IFERROR(__xludf.DUMMYFUNCTION("""COMPUTED_VALUE"""),"SPAIN")</f>
        <v>SPAIN</v>
      </c>
      <c r="O48" s="1" t="str">
        <f>IFERROR(__xludf.DUMMYFUNCTION("""COMPUTED_VALUE"""),"BARCELONA")</f>
        <v>BARCELONA</v>
      </c>
      <c r="P48" s="1" t="str">
        <f>IFERROR(__xludf.DUMMYFUNCTION("""COMPUTED_VALUE"""),"SOUTH AFRICA")</f>
        <v>SOUTH AFRICA</v>
      </c>
      <c r="Q48" s="1" t="str">
        <f>IFERROR(__xludf.DUMMYFUNCTION("""COMPUTED_VALUE"""),"JOHANNESBURG")</f>
        <v>JOHANNESBURG</v>
      </c>
      <c r="R48" s="1" t="str">
        <f>IFERROR(__xludf.DUMMYFUNCTION("""COMPUTED_VALUE"""),"Sea")</f>
        <v>Sea</v>
      </c>
      <c r="S48" s="1" t="str">
        <f>IFERROR(__xludf.DUMMYFUNCTION("""COMPUTED_VALUE"""),"EXW")</f>
        <v>EXW</v>
      </c>
      <c r="T48" s="1" t="str">
        <f>IFERROR(__xludf.DUMMYFUNCTION("""COMPUTED_VALUE"""),"ORTOTECSA C/PEÑA DE FRANCIA 8, POL. IND. ALQUITON,")</f>
        <v>ORTOTECSA C/PEÑA DE FRANCIA 8, POL. IND. ALQUITON,</v>
      </c>
      <c r="U48" s="1"/>
      <c r="V48" s="1"/>
      <c r="W48" s="1"/>
      <c r="X48" s="1"/>
      <c r="Y48" s="1"/>
    </row>
    <row r="49" customHeight="1" spans="1:25">
      <c r="A49" s="1" t="str">
        <f>IFERROR(__xludf.DUMMYFUNCTION("""COMPUTED_VALUE"""),"HdGky6ribMHo1LwAoHrb9q")</f>
        <v>HdGky6ribMHo1LwAoHrb9q</v>
      </c>
      <c r="B49" s="1">
        <f>IFERROR(__xludf.DUMMYFUNCTION("""COMPUTED_VALUE"""),48)</f>
        <v>48</v>
      </c>
      <c r="C49" s="1" t="str">
        <f>IFERROR(__xludf.DUMMYFUNCTION("""COMPUTED_VALUE"""),"DL48")</f>
        <v>DL48</v>
      </c>
      <c r="D49" s="2">
        <f>IFERROR(__xludf.DUMMYFUNCTION("""COMPUTED_VALUE"""),45177)</f>
        <v>45177</v>
      </c>
      <c r="E49" s="1" t="str">
        <f>IFERROR(__xludf.DUMMYFUNCTION("""COMPUTED_VALUE"""),"Geleza Tech")</f>
        <v>Geleza Tech</v>
      </c>
      <c r="F49" s="1" t="str">
        <f>IFERROR(__xludf.DUMMYFUNCTION("""COMPUTED_VALUE"""),"185")</f>
        <v>185</v>
      </c>
      <c r="G49" s="1" t="str">
        <f>IFERROR(__xludf.DUMMYFUNCTION("""COMPUTED_VALUE"""),"Tablets")</f>
        <v>Tablets</v>
      </c>
      <c r="H49" s="1">
        <f>IFERROR(__xludf.DUMMYFUNCTION("""COMPUTED_VALUE"""),3)</f>
        <v>3</v>
      </c>
      <c r="I49" s="1"/>
      <c r="J49" s="1">
        <f>IFERROR(__xludf.DUMMYFUNCTION("""COMPUTED_VALUE"""),0.26)</f>
        <v>0.26</v>
      </c>
      <c r="K49" s="1">
        <f>IFERROR(__xludf.DUMMYFUNCTION("""COMPUTED_VALUE"""),52)</f>
        <v>52</v>
      </c>
      <c r="L49" s="1" t="str">
        <f>IFERROR(__xludf.DUMMYFUNCTION("""COMPUTED_VALUE"""),"Yes")</f>
        <v>Yes</v>
      </c>
      <c r="M49" s="1" t="str">
        <f>IFERROR(__xludf.DUMMYFUNCTION("""COMPUTED_VALUE"""),"Yes")</f>
        <v>Yes</v>
      </c>
      <c r="N49" s="1" t="str">
        <f>IFERROR(__xludf.DUMMYFUNCTION("""COMPUTED_VALUE"""),"China")</f>
        <v>China</v>
      </c>
      <c r="O49" s="1" t="str">
        <f>IFERROR(__xludf.DUMMYFUNCTION("""COMPUTED_VALUE"""),"Guangzhou")</f>
        <v>Guangzhou</v>
      </c>
      <c r="P49" s="1" t="str">
        <f>IFERROR(__xludf.DUMMYFUNCTION("""COMPUTED_VALUE"""),"South Africa")</f>
        <v>South Africa</v>
      </c>
      <c r="Q49" s="1" t="str">
        <f>IFERROR(__xludf.DUMMYFUNCTION("""COMPUTED_VALUE"""),"Midrand")</f>
        <v>Midrand</v>
      </c>
      <c r="R49" s="1" t="str">
        <f>IFERROR(__xludf.DUMMYFUNCTION("""COMPUTED_VALUE"""),"Air")</f>
        <v>Air</v>
      </c>
      <c r="S49" s="1" t="str">
        <f>IFERROR(__xludf.DUMMYFUNCTION("""COMPUTED_VALUE"""),"FOB")</f>
        <v>FOB</v>
      </c>
      <c r="T49" s="1" t="str">
        <f>IFERROR(__xludf.DUMMYFUNCTION("""COMPUTED_VALUE"""),"OBD logistics Co ltd")</f>
        <v>OBD logistics Co ltd</v>
      </c>
      <c r="U49" s="1"/>
      <c r="V49" s="1" t="str">
        <f>IFERROR(__xludf.DUMMYFUNCTION("""COMPUTED_VALUE"""),"obd-sales019@obdlogistics.com")</f>
        <v>obd-sales019@obdlogistics.com</v>
      </c>
      <c r="W49" s="1" t="str">
        <f>IFERROR(__xludf.DUMMYFUNCTION("""COMPUTED_VALUE"""),"+862013347315457")</f>
        <v>+862013347315457</v>
      </c>
      <c r="X49" s="1"/>
      <c r="Y49" s="1"/>
    </row>
    <row r="50" customHeight="1" spans="1:25">
      <c r="A50" s="1" t="str">
        <f>IFERROR(__xludf.DUMMYFUNCTION("""COMPUTED_VALUE"""),"B4f1kY1UZ5ionF9FWg3T03")</f>
        <v>B4f1kY1UZ5ionF9FWg3T03</v>
      </c>
      <c r="B50" s="1">
        <f>IFERROR(__xludf.DUMMYFUNCTION("""COMPUTED_VALUE"""),49)</f>
        <v>49</v>
      </c>
      <c r="C50" s="1" t="str">
        <f>IFERROR(__xludf.DUMMYFUNCTION("""COMPUTED_VALUE"""),"DL49")</f>
        <v>DL49</v>
      </c>
      <c r="D50" s="2">
        <f>IFERROR(__xludf.DUMMYFUNCTION("""COMPUTED_VALUE"""),45181)</f>
        <v>45181</v>
      </c>
      <c r="E50" s="1" t="str">
        <f>IFERROR(__xludf.DUMMYFUNCTION("""COMPUTED_VALUE"""),"Mr Baloyi")</f>
        <v>Mr Baloyi</v>
      </c>
      <c r="F50" s="1" t="str">
        <f>IFERROR(__xludf.DUMMYFUNCTION("""COMPUTED_VALUE"""),"458")</f>
        <v>458</v>
      </c>
      <c r="G50" s="1" t="str">
        <f>IFERROR(__xludf.DUMMYFUNCTION("""COMPUTED_VALUE"""),"Generator")</f>
        <v>Generator</v>
      </c>
      <c r="H50" s="1">
        <f>IFERROR(__xludf.DUMMYFUNCTION("""COMPUTED_VALUE"""),1)</f>
        <v>1</v>
      </c>
      <c r="I50" s="1"/>
      <c r="J50" s="1">
        <f>IFERROR(__xludf.DUMMYFUNCTION("""COMPUTED_VALUE"""),4.9)</f>
        <v>4.9</v>
      </c>
      <c r="K50" s="1">
        <f>IFERROR(__xludf.DUMMYFUNCTION("""COMPUTED_VALUE"""),1525)</f>
        <v>1525</v>
      </c>
      <c r="L50" s="1" t="str">
        <f>IFERROR(__xludf.DUMMYFUNCTION("""COMPUTED_VALUE"""),"Yes")</f>
        <v>Yes</v>
      </c>
      <c r="M50" s="1" t="str">
        <f>IFERROR(__xludf.DUMMYFUNCTION("""COMPUTED_VALUE"""),"Yes")</f>
        <v>Yes</v>
      </c>
      <c r="N50" s="1" t="str">
        <f>IFERROR(__xludf.DUMMYFUNCTION("""COMPUTED_VALUE"""),"China")</f>
        <v>China</v>
      </c>
      <c r="O50" s="1" t="str">
        <f>IFERROR(__xludf.DUMMYFUNCTION("""COMPUTED_VALUE"""),"Hong-Kong")</f>
        <v>Hong-Kong</v>
      </c>
      <c r="P50" s="1" t="str">
        <f>IFERROR(__xludf.DUMMYFUNCTION("""COMPUTED_VALUE"""),"South Africa")</f>
        <v>South Africa</v>
      </c>
      <c r="Q50" s="1" t="str">
        <f>IFERROR(__xludf.DUMMYFUNCTION("""COMPUTED_VALUE"""),"Vhembe")</f>
        <v>Vhembe</v>
      </c>
      <c r="R50" s="1" t="str">
        <f>IFERROR(__xludf.DUMMYFUNCTION("""COMPUTED_VALUE"""),"Sea")</f>
        <v>Sea</v>
      </c>
      <c r="S50" s="1" t="str">
        <f>IFERROR(__xludf.DUMMYFUNCTION("""COMPUTED_VALUE"""),"CFR")</f>
        <v>CFR</v>
      </c>
      <c r="T50" s="1" t="str">
        <f>IFERROR(__xludf.DUMMYFUNCTION("""COMPUTED_VALUE"""),"GUANGDONG BINSHI POWER TECHNOLOGY CO.,LTD")</f>
        <v>GUANGDONG BINSHI POWER TECHNOLOGY CO.,LTD</v>
      </c>
      <c r="U50" s="1"/>
      <c r="V50" s="1"/>
      <c r="W50" s="1"/>
      <c r="X50" s="1"/>
      <c r="Y50" s="1"/>
    </row>
    <row r="51" customHeight="1" spans="1:25">
      <c r="A51" s="1" t="str">
        <f>IFERROR(__xludf.DUMMYFUNCTION("""COMPUTED_VALUE"""),"YEwzPL5ofRx7DcNK8CaJsj")</f>
        <v>YEwzPL5ofRx7DcNK8CaJsj</v>
      </c>
      <c r="B51" s="1">
        <f>IFERROR(__xludf.DUMMYFUNCTION("""COMPUTED_VALUE"""),50)</f>
        <v>50</v>
      </c>
      <c r="C51" s="1" t="str">
        <f>IFERROR(__xludf.DUMMYFUNCTION("""COMPUTED_VALUE"""),"DL50")</f>
        <v>DL50</v>
      </c>
      <c r="D51" s="2">
        <f>IFERROR(__xludf.DUMMYFUNCTION("""COMPUTED_VALUE"""),45175)</f>
        <v>45175</v>
      </c>
      <c r="E51" s="1" t="str">
        <f>IFERROR(__xludf.DUMMYFUNCTION("""COMPUTED_VALUE"""),"Patricia Chiloane")</f>
        <v>Patricia Chiloane</v>
      </c>
      <c r="F51" s="1" t="str">
        <f>IFERROR(__xludf.DUMMYFUNCTION("""COMPUTED_VALUE"""),"321")</f>
        <v>321</v>
      </c>
      <c r="G51" s="1" t="str">
        <f>IFERROR(__xludf.DUMMYFUNCTION("""COMPUTED_VALUE"""),"Facial Machine, Towel Warmer and")</f>
        <v>Facial Machine, Towel Warmer and</v>
      </c>
      <c r="H51" s="1">
        <f>IFERROR(__xludf.DUMMYFUNCTION("""COMPUTED_VALUE"""),3)</f>
        <v>3</v>
      </c>
      <c r="I51" s="1"/>
      <c r="J51" s="1">
        <f>IFERROR(__xludf.DUMMYFUNCTION("""COMPUTED_VALUE"""),65)</f>
        <v>65</v>
      </c>
      <c r="K51" s="1">
        <f>IFERROR(__xludf.DUMMYFUNCTION("""COMPUTED_VALUE"""),35)</f>
        <v>35</v>
      </c>
      <c r="L51" s="1" t="str">
        <f>IFERROR(__xludf.DUMMYFUNCTION("""COMPUTED_VALUE"""),"Yes")</f>
        <v>Yes</v>
      </c>
      <c r="M51" s="1" t="str">
        <f>IFERROR(__xludf.DUMMYFUNCTION("""COMPUTED_VALUE"""),"Yes")</f>
        <v>Yes</v>
      </c>
      <c r="N51" s="1" t="str">
        <f>IFERROR(__xludf.DUMMYFUNCTION("""COMPUTED_VALUE"""),"CHINA")</f>
        <v>CHINA</v>
      </c>
      <c r="O51" s="1" t="str">
        <f>IFERROR(__xludf.DUMMYFUNCTION("""COMPUTED_VALUE"""),"HONG KONG")</f>
        <v>HONG KONG</v>
      </c>
      <c r="P51" s="1" t="str">
        <f>IFERROR(__xludf.DUMMYFUNCTION("""COMPUTED_VALUE"""),"SOUTH AFRICA")</f>
        <v>SOUTH AFRICA</v>
      </c>
      <c r="Q51" s="1" t="str">
        <f>IFERROR(__xludf.DUMMYFUNCTION("""COMPUTED_VALUE"""),"JOHANNESBURG")</f>
        <v>JOHANNESBURG</v>
      </c>
      <c r="R51" s="1" t="str">
        <f>IFERROR(__xludf.DUMMYFUNCTION("""COMPUTED_VALUE"""),"Air")</f>
        <v>Air</v>
      </c>
      <c r="S51" s="1" t="str">
        <f>IFERROR(__xludf.DUMMYFUNCTION("""COMPUTED_VALUE"""),"FCA")</f>
        <v>FCA</v>
      </c>
      <c r="T51" s="1" t="str">
        <f>IFERROR(__xludf.DUMMYFUNCTION("""COMPUTED_VALUE"""),"OBD LOGISTICS CO LTD")</f>
        <v>OBD LOGISTICS CO LTD</v>
      </c>
      <c r="U51" s="1"/>
      <c r="V51" s="1"/>
      <c r="W51" s="1"/>
      <c r="X51" s="1"/>
      <c r="Y51" s="1"/>
    </row>
    <row r="52" customHeight="1" spans="1:25">
      <c r="A52" s="1" t="str">
        <f>IFERROR(__xludf.DUMMYFUNCTION("""COMPUTED_VALUE"""),"JvCNXSMTu38AX4iMlubiJh")</f>
        <v>JvCNXSMTu38AX4iMlubiJh</v>
      </c>
      <c r="B52" s="1">
        <f>IFERROR(__xludf.DUMMYFUNCTION("""COMPUTED_VALUE"""),51)</f>
        <v>51</v>
      </c>
      <c r="C52" s="1" t="str">
        <f>IFERROR(__xludf.DUMMYFUNCTION("""COMPUTED_VALUE"""),"DL51")</f>
        <v>DL51</v>
      </c>
      <c r="D52" s="2">
        <f>IFERROR(__xludf.DUMMYFUNCTION("""COMPUTED_VALUE"""),45175)</f>
        <v>45175</v>
      </c>
      <c r="E52" s="1" t="str">
        <f>IFERROR(__xludf.DUMMYFUNCTION("""COMPUTED_VALUE"""),"Bolton")</f>
        <v>Bolton</v>
      </c>
      <c r="F52" s="1" t="str">
        <f>IFERROR(__xludf.DUMMYFUNCTION("""COMPUTED_VALUE"""),"679")</f>
        <v>679</v>
      </c>
      <c r="G52" s="1" t="str">
        <f>IFERROR(__xludf.DUMMYFUNCTION("""COMPUTED_VALUE"""),"Fender Liner's")</f>
        <v>Fender Liner's</v>
      </c>
      <c r="H52" s="1"/>
      <c r="I52" s="1"/>
      <c r="J52" s="1">
        <f>IFERROR(__xludf.DUMMYFUNCTION("""COMPUTED_VALUE"""),0)</f>
        <v>0</v>
      </c>
      <c r="K52" s="1">
        <f>IFERROR(__xludf.DUMMYFUNCTION("""COMPUTED_VALUE"""),43)</f>
        <v>43</v>
      </c>
      <c r="L52" s="1"/>
      <c r="M52" s="1"/>
      <c r="N52" s="1"/>
      <c r="O52" s="1"/>
      <c r="P52" s="1"/>
      <c r="Q52" s="1"/>
      <c r="R52" s="1" t="str">
        <f>IFERROR(__xludf.DUMMYFUNCTION("""COMPUTED_VALUE"""),"Air")</f>
        <v>Air</v>
      </c>
      <c r="S52" s="1" t="str">
        <f>IFERROR(__xludf.DUMMYFUNCTION("""COMPUTED_VALUE"""),"EXW")</f>
        <v>EXW</v>
      </c>
      <c r="T52" s="1"/>
      <c r="U52" s="1"/>
      <c r="V52" s="1"/>
      <c r="W52" s="1"/>
      <c r="X52" s="1"/>
      <c r="Y52" s="1"/>
    </row>
    <row r="53" customHeight="1" spans="1:25">
      <c r="A53" s="1" t="str">
        <f>IFERROR(__xludf.DUMMYFUNCTION("""COMPUTED_VALUE"""),"v544frTQU2R3hWDmasfiU1")</f>
        <v>v544frTQU2R3hWDmasfiU1</v>
      </c>
      <c r="B53" s="1">
        <f>IFERROR(__xludf.DUMMYFUNCTION("""COMPUTED_VALUE"""),52)</f>
        <v>52</v>
      </c>
      <c r="C53" s="1" t="str">
        <f>IFERROR(__xludf.DUMMYFUNCTION("""COMPUTED_VALUE"""),"DL52")</f>
        <v>DL52</v>
      </c>
      <c r="D53" s="2">
        <f>IFERROR(__xludf.DUMMYFUNCTION("""COMPUTED_VALUE"""),45175)</f>
        <v>45175</v>
      </c>
      <c r="E53" s="1" t="str">
        <f>IFERROR(__xludf.DUMMYFUNCTION("""COMPUTED_VALUE"""),"Patricia Chiloane")</f>
        <v>Patricia Chiloane</v>
      </c>
      <c r="F53" s="1" t="str">
        <f>IFERROR(__xludf.DUMMYFUNCTION("""COMPUTED_VALUE"""),"321")</f>
        <v>321</v>
      </c>
      <c r="G53" s="1" t="str">
        <f>IFERROR(__xludf.DUMMYFUNCTION("""COMPUTED_VALUE"""),"Facial Machine")</f>
        <v>Facial Machine</v>
      </c>
      <c r="H53" s="1">
        <f>IFERROR(__xludf.DUMMYFUNCTION("""COMPUTED_VALUE"""),2)</f>
        <v>2</v>
      </c>
      <c r="I53" s="1"/>
      <c r="J53" s="1">
        <f>IFERROR(__xludf.DUMMYFUNCTION("""COMPUTED_VALUE"""),0.18)</f>
        <v>0.18</v>
      </c>
      <c r="K53" s="1">
        <f>IFERROR(__xludf.DUMMYFUNCTION("""COMPUTED_VALUE"""),18)</f>
        <v>18</v>
      </c>
      <c r="L53" s="1" t="str">
        <f>IFERROR(__xludf.DUMMYFUNCTION("""COMPUTED_VALUE"""),"Yes")</f>
        <v>Yes</v>
      </c>
      <c r="M53" s="1" t="str">
        <f>IFERROR(__xludf.DUMMYFUNCTION("""COMPUTED_VALUE"""),"Yes")</f>
        <v>Yes</v>
      </c>
      <c r="N53" s="1"/>
      <c r="O53" s="1"/>
      <c r="P53" s="1"/>
      <c r="Q53" s="1"/>
      <c r="R53" s="1" t="str">
        <f>IFERROR(__xludf.DUMMYFUNCTION("""COMPUTED_VALUE"""),"Air")</f>
        <v>Air</v>
      </c>
      <c r="S53" s="1" t="str">
        <f>IFERROR(__xludf.DUMMYFUNCTION("""COMPUTED_VALUE"""),"FCA")</f>
        <v>FCA</v>
      </c>
      <c r="T53" s="1" t="str">
        <f>IFERROR(__xludf.DUMMYFUNCTION("""COMPUTED_VALUE"""),"OBD Logistics Co ltd")</f>
        <v>OBD Logistics Co ltd</v>
      </c>
      <c r="U53" s="1"/>
      <c r="V53" s="1" t="str">
        <f>IFERROR(__xludf.DUMMYFUNCTION("""COMPUTED_VALUE"""),"obdsales6@obdlogistics.com")</f>
        <v>obdsales6@obdlogistics.com</v>
      </c>
      <c r="W53" s="1"/>
      <c r="X53" s="1"/>
      <c r="Y53" s="1"/>
    </row>
    <row r="54" customHeight="1" spans="1:25">
      <c r="A54" s="1" t="str">
        <f>IFERROR(__xludf.DUMMYFUNCTION("""COMPUTED_VALUE"""),"3AHivDdIJtXG4CH5416ZbS")</f>
        <v>3AHivDdIJtXG4CH5416ZbS</v>
      </c>
      <c r="B54" s="1">
        <f>IFERROR(__xludf.DUMMYFUNCTION("""COMPUTED_VALUE"""),53)</f>
        <v>53</v>
      </c>
      <c r="C54" s="1" t="str">
        <f>IFERROR(__xludf.DUMMYFUNCTION("""COMPUTED_VALUE"""),"DL53")</f>
        <v>DL53</v>
      </c>
      <c r="D54" s="2">
        <f>IFERROR(__xludf.DUMMYFUNCTION("""COMPUTED_VALUE"""),45182)</f>
        <v>45182</v>
      </c>
      <c r="E54" s="1" t="str">
        <f>IFERROR(__xludf.DUMMYFUNCTION("""COMPUTED_VALUE"""),"Patricia Chiloane")</f>
        <v>Patricia Chiloane</v>
      </c>
      <c r="F54" s="1" t="str">
        <f>IFERROR(__xludf.DUMMYFUNCTION("""COMPUTED_VALUE"""),"321")</f>
        <v>321</v>
      </c>
      <c r="G54" s="1" t="str">
        <f>IFERROR(__xludf.DUMMYFUNCTION("""COMPUTED_VALUE"""),"Cold and Hot Spray")</f>
        <v>Cold and Hot Spray</v>
      </c>
      <c r="H54" s="1">
        <f>IFERROR(__xludf.DUMMYFUNCTION("""COMPUTED_VALUE"""),1)</f>
        <v>1</v>
      </c>
      <c r="I54" s="1"/>
      <c r="J54" s="1">
        <f>IFERROR(__xludf.DUMMYFUNCTION("""COMPUTED_VALUE"""),0.06)</f>
        <v>0.06</v>
      </c>
      <c r="K54" s="1">
        <f>IFERROR(__xludf.DUMMYFUNCTION("""COMPUTED_VALUE"""),9)</f>
        <v>9</v>
      </c>
      <c r="L54" s="1" t="str">
        <f>IFERROR(__xludf.DUMMYFUNCTION("""COMPUTED_VALUE"""),"Yes")</f>
        <v>Yes</v>
      </c>
      <c r="M54" s="1" t="str">
        <f>IFERROR(__xludf.DUMMYFUNCTION("""COMPUTED_VALUE"""),"Yes")</f>
        <v>Yes</v>
      </c>
      <c r="N54" s="1"/>
      <c r="O54" s="1"/>
      <c r="P54" s="1"/>
      <c r="Q54" s="1"/>
      <c r="R54" s="1" t="str">
        <f>IFERROR(__xludf.DUMMYFUNCTION("""COMPUTED_VALUE"""),"Air")</f>
        <v>Air</v>
      </c>
      <c r="S54" s="1" t="str">
        <f>IFERROR(__xludf.DUMMYFUNCTION("""COMPUTED_VALUE"""),"FCA")</f>
        <v>FCA</v>
      </c>
      <c r="T54" s="1" t="str">
        <f>IFERROR(__xludf.DUMMYFUNCTION("""COMPUTED_VALUE"""),"OBD Logistics Co ltd")</f>
        <v>OBD Logistics Co ltd</v>
      </c>
      <c r="U54" s="1"/>
      <c r="V54" s="1" t="str">
        <f>IFERROR(__xludf.DUMMYFUNCTION("""COMPUTED_VALUE"""),"obdsales6@obdlogistics.com")</f>
        <v>obdsales6@obdlogistics.com</v>
      </c>
      <c r="W54" s="1"/>
      <c r="X54" s="1"/>
      <c r="Y54" s="1"/>
    </row>
    <row r="55" customHeight="1" spans="1:25">
      <c r="A55" s="1" t="str">
        <f>IFERROR(__xludf.DUMMYFUNCTION("""COMPUTED_VALUE"""),"UEMUBnZPQehckED3XTF367")</f>
        <v>UEMUBnZPQehckED3XTF367</v>
      </c>
      <c r="B55" s="1">
        <f>IFERROR(__xludf.DUMMYFUNCTION("""COMPUTED_VALUE"""),54)</f>
        <v>54</v>
      </c>
      <c r="C55" s="1" t="str">
        <f>IFERROR(__xludf.DUMMYFUNCTION("""COMPUTED_VALUE"""),"DL54")</f>
        <v>DL54</v>
      </c>
      <c r="D55" s="2">
        <f>IFERROR(__xludf.DUMMYFUNCTION("""COMPUTED_VALUE"""),45187)</f>
        <v>45187</v>
      </c>
      <c r="E55" s="1" t="str">
        <f>IFERROR(__xludf.DUMMYFUNCTION("""COMPUTED_VALUE"""),"Mantwa Mamakhe")</f>
        <v>Mantwa Mamakhe</v>
      </c>
      <c r="F55" s="1" t="str">
        <f>IFERROR(__xludf.DUMMYFUNCTION("""COMPUTED_VALUE"""),"661")</f>
        <v>661</v>
      </c>
      <c r="G55" s="1" t="str">
        <f>IFERROR(__xludf.DUMMYFUNCTION("""COMPUTED_VALUE"""),"Printer, Black Cartridge and Conveyor Table")</f>
        <v>Printer, Black Cartridge and Conveyor Table</v>
      </c>
      <c r="H55" s="1">
        <f>IFERROR(__xludf.DUMMYFUNCTION("""COMPUTED_VALUE"""),3)</f>
        <v>3</v>
      </c>
      <c r="I55" s="1"/>
      <c r="J55" s="1">
        <f>IFERROR(__xludf.DUMMYFUNCTION("""COMPUTED_VALUE"""),0.34)</f>
        <v>0.34</v>
      </c>
      <c r="K55" s="1">
        <f>IFERROR(__xludf.DUMMYFUNCTION("""COMPUTED_VALUE"""),25)</f>
        <v>25</v>
      </c>
      <c r="L55" s="1" t="str">
        <f>IFERROR(__xludf.DUMMYFUNCTION("""COMPUTED_VALUE"""),"Yes")</f>
        <v>Yes</v>
      </c>
      <c r="M55" s="1" t="str">
        <f>IFERROR(__xludf.DUMMYFUNCTION("""COMPUTED_VALUE"""),"Yes")</f>
        <v>Yes</v>
      </c>
      <c r="N55" s="1"/>
      <c r="O55" s="1"/>
      <c r="P55" s="1"/>
      <c r="Q55" s="1"/>
      <c r="R55" s="1" t="str">
        <f>IFERROR(__xludf.DUMMYFUNCTION("""COMPUTED_VALUE"""),"Air")</f>
        <v>Air</v>
      </c>
      <c r="S55" s="1" t="str">
        <f>IFERROR(__xludf.DUMMYFUNCTION("""COMPUTED_VALUE"""),"DDP")</f>
        <v>DDP</v>
      </c>
      <c r="T55" s="1"/>
      <c r="U55" s="1"/>
      <c r="V55" s="1"/>
      <c r="W55" s="1"/>
      <c r="X55" s="1"/>
      <c r="Y55" s="1"/>
    </row>
    <row r="56" customHeight="1" spans="1:25">
      <c r="A56" s="1" t="str">
        <f>IFERROR(__xludf.DUMMYFUNCTION("""COMPUTED_VALUE"""),"Edf1ufkwJZp250i6VRwCEw")</f>
        <v>Edf1ufkwJZp250i6VRwCEw</v>
      </c>
      <c r="B56" s="1">
        <f>IFERROR(__xludf.DUMMYFUNCTION("""COMPUTED_VALUE"""),55)</f>
        <v>55</v>
      </c>
      <c r="C56" s="1" t="str">
        <f>IFERROR(__xludf.DUMMYFUNCTION("""COMPUTED_VALUE"""),"DL55")</f>
        <v>DL55</v>
      </c>
      <c r="D56" s="2">
        <f>IFERROR(__xludf.DUMMYFUNCTION("""COMPUTED_VALUE"""),45187)</f>
        <v>45187</v>
      </c>
      <c r="E56" s="1" t="str">
        <f>IFERROR(__xludf.DUMMYFUNCTION("""COMPUTED_VALUE"""),"Epicutis Skin Care")</f>
        <v>Epicutis Skin Care</v>
      </c>
      <c r="F56" s="1" t="str">
        <f>IFERROR(__xludf.DUMMYFUNCTION("""COMPUTED_VALUE"""),"661")</f>
        <v>661</v>
      </c>
      <c r="G56" s="1" t="str">
        <f>IFERROR(__xludf.DUMMYFUNCTION("""COMPUTED_VALUE"""),"Shrinking Machine")</f>
        <v>Shrinking Machine</v>
      </c>
      <c r="H56" s="1">
        <f>IFERROR(__xludf.DUMMYFUNCTION("""COMPUTED_VALUE"""),1)</f>
        <v>1</v>
      </c>
      <c r="I56" s="1"/>
      <c r="J56" s="1">
        <f>IFERROR(__xludf.DUMMYFUNCTION("""COMPUTED_VALUE"""),7.8)</f>
        <v>7.8</v>
      </c>
      <c r="K56" s="1">
        <f>IFERROR(__xludf.DUMMYFUNCTION("""COMPUTED_VALUE"""),500)</f>
        <v>500</v>
      </c>
      <c r="L56" s="1" t="str">
        <f>IFERROR(__xludf.DUMMYFUNCTION("""COMPUTED_VALUE"""),"Yes")</f>
        <v>Yes</v>
      </c>
      <c r="M56" s="1" t="str">
        <f>IFERROR(__xludf.DUMMYFUNCTION("""COMPUTED_VALUE"""),"Yes")</f>
        <v>Yes</v>
      </c>
      <c r="N56" s="1" t="str">
        <f>IFERROR(__xludf.DUMMYFUNCTION("""COMPUTED_VALUE"""),"China")</f>
        <v>China</v>
      </c>
      <c r="O56" s="1" t="str">
        <f>IFERROR(__xludf.DUMMYFUNCTION("""COMPUTED_VALUE"""),"Henai")</f>
        <v>Henai</v>
      </c>
      <c r="P56" s="1" t="str">
        <f>IFERROR(__xludf.DUMMYFUNCTION("""COMPUTED_VALUE"""),"South Africa")</f>
        <v>South Africa</v>
      </c>
      <c r="Q56" s="1" t="str">
        <f>IFERROR(__xludf.DUMMYFUNCTION("""COMPUTED_VALUE"""),"Bloemfontein, Johannesburg")</f>
        <v>Bloemfontein, Johannesburg</v>
      </c>
      <c r="R56" s="1" t="str">
        <f>IFERROR(__xludf.DUMMYFUNCTION("""COMPUTED_VALUE"""),"Sea")</f>
        <v>Sea</v>
      </c>
      <c r="S56" s="1" t="str">
        <f>IFERROR(__xludf.DUMMYFUNCTION("""COMPUTED_VALUE"""),"FCA")</f>
        <v>FCA</v>
      </c>
      <c r="T56" s="1" t="str">
        <f>IFERROR(__xludf.DUMMYFUNCTION("""COMPUTED_VALUE"""),"ShenzhenNimbus Shipping Co Ltd")</f>
        <v>ShenzhenNimbus Shipping Co Ltd</v>
      </c>
      <c r="U56" s="1"/>
      <c r="V56" s="1" t="str">
        <f>IFERROR(__xludf.DUMMYFUNCTION("""COMPUTED_VALUE"""),"aya.long@nbs-shipping.com")</f>
        <v>aya.long@nbs-shipping.com</v>
      </c>
      <c r="W56" s="1" t="str">
        <f>IFERROR(__xludf.DUMMYFUNCTION("""COMPUTED_VALUE"""),"+86 173 5444 0156")</f>
        <v>+86 173 5444 0156</v>
      </c>
      <c r="X56" s="1"/>
      <c r="Y56" s="1"/>
    </row>
    <row r="57" customHeight="1" spans="1: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customHeight="1" spans="1:25">
      <c r="A58" s="1" t="str">
        <f>IFERROR(__xludf.DUMMYFUNCTION("""COMPUTED_VALUE"""),"zZa5sTNBgQUEJDbQsMH37l")</f>
        <v>zZa5sTNBgQUEJDbQsMH37l</v>
      </c>
      <c r="B58" s="1">
        <f>IFERROR(__xludf.DUMMYFUNCTION("""COMPUTED_VALUE"""),57)</f>
        <v>57</v>
      </c>
      <c r="C58" s="1" t="str">
        <f>IFERROR(__xludf.DUMMYFUNCTION("""COMPUTED_VALUE"""),"DL57")</f>
        <v>DL57</v>
      </c>
      <c r="D58" s="2">
        <f>IFERROR(__xludf.DUMMYFUNCTION("""COMPUTED_VALUE"""),45189)</f>
        <v>45189</v>
      </c>
      <c r="E58" s="1" t="str">
        <f>IFERROR(__xludf.DUMMYFUNCTION("""COMPUTED_VALUE"""),"Mohammad Fouzan")</f>
        <v>Mohammad Fouzan</v>
      </c>
      <c r="F58" s="1" t="str">
        <f>IFERROR(__xludf.DUMMYFUNCTION("""COMPUTED_VALUE"""),"189")</f>
        <v>189</v>
      </c>
      <c r="G58" s="1" t="str">
        <f>IFERROR(__xludf.DUMMYFUNCTION("""COMPUTED_VALUE"""),"Play Set Fake Make Up Kit")</f>
        <v>Play Set Fake Make Up Kit</v>
      </c>
      <c r="H58" s="1">
        <f>IFERROR(__xludf.DUMMYFUNCTION("""COMPUTED_VALUE"""),9)</f>
        <v>9</v>
      </c>
      <c r="I58" s="1"/>
      <c r="J58" s="1">
        <f>IFERROR(__xludf.DUMMYFUNCTION("""COMPUTED_VALUE"""),0.85)</f>
        <v>0.85</v>
      </c>
      <c r="K58" s="1">
        <f>IFERROR(__xludf.DUMMYFUNCTION("""COMPUTED_VALUE"""),135)</f>
        <v>135</v>
      </c>
      <c r="L58" s="1" t="str">
        <f>IFERROR(__xludf.DUMMYFUNCTION("""COMPUTED_VALUE"""),"Yes")</f>
        <v>Yes</v>
      </c>
      <c r="M58" s="1" t="str">
        <f>IFERROR(__xludf.DUMMYFUNCTION("""COMPUTED_VALUE"""),"Yes")</f>
        <v>Yes</v>
      </c>
      <c r="N58" s="1" t="str">
        <f>IFERROR(__xludf.DUMMYFUNCTION("""COMPUTED_VALUE"""),"China")</f>
        <v>China</v>
      </c>
      <c r="O58" s="1" t="str">
        <f>IFERROR(__xludf.DUMMYFUNCTION("""COMPUTED_VALUE"""),"Shenzhen")</f>
        <v>Shenzhen</v>
      </c>
      <c r="P58" s="1" t="str">
        <f>IFERROR(__xludf.DUMMYFUNCTION("""COMPUTED_VALUE"""),"South Africa")</f>
        <v>South Africa</v>
      </c>
      <c r="Q58" s="1" t="str">
        <f>IFERROR(__xludf.DUMMYFUNCTION("""COMPUTED_VALUE"""),"Durban")</f>
        <v>Durban</v>
      </c>
      <c r="R58" s="1" t="str">
        <f>IFERROR(__xludf.DUMMYFUNCTION("""COMPUTED_VALUE"""),"Sea")</f>
        <v>Sea</v>
      </c>
      <c r="S58" s="1" t="str">
        <f>IFERROR(__xludf.DUMMYFUNCTION("""COMPUTED_VALUE"""),"EXW")</f>
        <v>EXW</v>
      </c>
      <c r="T58" s="1" t="str">
        <f>IFERROR(__xludf.DUMMYFUNCTION("""COMPUTED_VALUE"""),"SHENZHEN LUCKY LOGISTICS LTD")</f>
        <v>SHENZHEN LUCKY LOGISTICS LTD</v>
      </c>
      <c r="U58" s="1"/>
      <c r="V58" s="1" t="str">
        <f>IFERROR(__xludf.DUMMYFUNCTION("""COMPUTED_VALUE"""),"Becky@nbs-shipping.com")</f>
        <v>Becky@nbs-shipping.com</v>
      </c>
      <c r="W58" s="1" t="str">
        <f>IFERROR(__xludf.DUMMYFUNCTION("""COMPUTED_VALUE"""),"+86 173 5444 0156")</f>
        <v>+86 173 5444 0156</v>
      </c>
      <c r="X58" s="1"/>
      <c r="Y58" s="1"/>
    </row>
    <row r="59" customHeight="1" spans="1:25">
      <c r="A59" s="1" t="str">
        <f>IFERROR(__xludf.DUMMYFUNCTION("""COMPUTED_VALUE"""),"W58JyG1HqIRf0ps91J3tTy")</f>
        <v>W58JyG1HqIRf0ps91J3tTy</v>
      </c>
      <c r="B59" s="1">
        <f>IFERROR(__xludf.DUMMYFUNCTION("""COMPUTED_VALUE"""),58)</f>
        <v>58</v>
      </c>
      <c r="C59" s="1" t="str">
        <f>IFERROR(__xludf.DUMMYFUNCTION("""COMPUTED_VALUE"""),"DL58")</f>
        <v>DL58</v>
      </c>
      <c r="D59" s="2">
        <f>IFERROR(__xludf.DUMMYFUNCTION("""COMPUTED_VALUE"""),45196)</f>
        <v>45196</v>
      </c>
      <c r="E59" s="1" t="str">
        <f>IFERROR(__xludf.DUMMYFUNCTION("""COMPUTED_VALUE"""),"Bolton")</f>
        <v>Bolton</v>
      </c>
      <c r="F59" s="1" t="str">
        <f>IFERROR(__xludf.DUMMYFUNCTION("""COMPUTED_VALUE"""),"679")</f>
        <v>679</v>
      </c>
      <c r="G59" s="1" t="str">
        <f>IFERROR(__xludf.DUMMYFUNCTION("""COMPUTED_VALUE"""),"Golf 6 &amp; 7 head lights")</f>
        <v>Golf 6 &amp; 7 head lights</v>
      </c>
      <c r="H59" s="1">
        <f>IFERROR(__xludf.DUMMYFUNCTION("""COMPUTED_VALUE"""),10)</f>
        <v>10</v>
      </c>
      <c r="I59" s="1"/>
      <c r="J59" s="1">
        <f>IFERROR(__xludf.DUMMYFUNCTION("""COMPUTED_VALUE"""),1.36)</f>
        <v>1.36</v>
      </c>
      <c r="K59" s="1">
        <f>IFERROR(__xludf.DUMMYFUNCTION("""COMPUTED_VALUE"""),120)</f>
        <v>120</v>
      </c>
      <c r="L59" s="1" t="str">
        <f>IFERROR(__xludf.DUMMYFUNCTION("""COMPUTED_VALUE"""),"Yes")</f>
        <v>Yes</v>
      </c>
      <c r="M59" s="1" t="str">
        <f>IFERROR(__xludf.DUMMYFUNCTION("""COMPUTED_VALUE"""),"Yes")</f>
        <v>Yes</v>
      </c>
      <c r="N59" s="1" t="str">
        <f>IFERROR(__xludf.DUMMYFUNCTION("""COMPUTED_VALUE"""),"China")</f>
        <v>China</v>
      </c>
      <c r="O59" s="1" t="str">
        <f>IFERROR(__xludf.DUMMYFUNCTION("""COMPUTED_VALUE"""),"Guangzhou")</f>
        <v>Guangzhou</v>
      </c>
      <c r="P59" s="1" t="str">
        <f>IFERROR(__xludf.DUMMYFUNCTION("""COMPUTED_VALUE"""),"South Africa")</f>
        <v>South Africa</v>
      </c>
      <c r="Q59" s="1" t="str">
        <f>IFERROR(__xludf.DUMMYFUNCTION("""COMPUTED_VALUE"""),"Johannesburg")</f>
        <v>Johannesburg</v>
      </c>
      <c r="R59" s="1" t="str">
        <f>IFERROR(__xludf.DUMMYFUNCTION("""COMPUTED_VALUE"""),"Sea")</f>
        <v>Sea</v>
      </c>
      <c r="S59" s="1" t="str">
        <f>IFERROR(__xludf.DUMMYFUNCTION("""COMPUTED_VALUE"""),"FCA")</f>
        <v>FCA</v>
      </c>
      <c r="T59" s="1" t="str">
        <f>IFERROR(__xludf.DUMMYFUNCTION("""COMPUTED_VALUE"""),"SHENZHEN NIMBUS SHIPPING CO.,LTD")</f>
        <v>SHENZHEN NIMBUS SHIPPING CO.,LTD</v>
      </c>
      <c r="U59" s="1" t="str">
        <f>IFERROR(__xludf.DUMMYFUNCTION("""COMPUTED_VALUE"""),"RM416,V VALLEY CITY SHANHAI,NO.1 YONGXIANG ROAD,BANTIAN STREET,LONGGANG DISTRICT,SHENZHEN,CHINA.")</f>
        <v>RM416,V VALLEY CITY SHANHAI,NO.1 YONGXIANG ROAD,BANTIAN STREET,LONGGANG DISTRICT,SHENZHEN,CHINA.</v>
      </c>
      <c r="V59" s="1" t="str">
        <f>IFERROR(__xludf.DUMMYFUNCTION("""COMPUTED_VALUE"""),"aya.long@nbs-shipping.com")</f>
        <v>aya.long@nbs-shipping.com</v>
      </c>
      <c r="W59" s="1" t="str">
        <f>IFERROR(__xludf.DUMMYFUNCTION("""COMPUTED_VALUE"""),"008675589699684")</f>
        <v>008675589699684</v>
      </c>
      <c r="X59" s="1"/>
      <c r="Y59" s="1"/>
    </row>
    <row r="60" customHeight="1" spans="1:25">
      <c r="A60" s="1" t="str">
        <f>IFERROR(__xludf.DUMMYFUNCTION("""COMPUTED_VALUE"""),"li0jN5IJo4n6sfG6xLRA6X")</f>
        <v>li0jN5IJo4n6sfG6xLRA6X</v>
      </c>
      <c r="B60" s="1">
        <f>IFERROR(__xludf.DUMMYFUNCTION("""COMPUTED_VALUE"""),59)</f>
        <v>59</v>
      </c>
      <c r="C60" s="1" t="str">
        <f>IFERROR(__xludf.DUMMYFUNCTION("""COMPUTED_VALUE"""),"DL59")</f>
        <v>DL59</v>
      </c>
      <c r="D60" s="2">
        <f>IFERROR(__xludf.DUMMYFUNCTION("""COMPUTED_VALUE"""),45202)</f>
        <v>45202</v>
      </c>
      <c r="E60" s="1" t="str">
        <f>IFERROR(__xludf.DUMMYFUNCTION("""COMPUTED_VALUE"""),"African Technopreneurs")</f>
        <v>African Technopreneurs</v>
      </c>
      <c r="F60" s="1" t="str">
        <f>IFERROR(__xludf.DUMMYFUNCTION("""COMPUTED_VALUE"""),"183")</f>
        <v>183</v>
      </c>
      <c r="G60" s="1" t="str">
        <f>IFERROR(__xludf.DUMMYFUNCTION("""COMPUTED_VALUE"""),"Action Cameras")</f>
        <v>Action Cameras</v>
      </c>
      <c r="H60" s="1">
        <f>IFERROR(__xludf.DUMMYFUNCTION("""COMPUTED_VALUE"""),3)</f>
        <v>3</v>
      </c>
      <c r="I60" s="1"/>
      <c r="J60" s="1">
        <f>IFERROR(__xludf.DUMMYFUNCTION("""COMPUTED_VALUE"""),0.13)</f>
        <v>0.13</v>
      </c>
      <c r="K60" s="1">
        <f>IFERROR(__xludf.DUMMYFUNCTION("""COMPUTED_VALUE"""),24)</f>
        <v>24</v>
      </c>
      <c r="L60" s="1" t="str">
        <f>IFERROR(__xludf.DUMMYFUNCTION("""COMPUTED_VALUE"""),"Yes")</f>
        <v>Yes</v>
      </c>
      <c r="M60" s="1" t="str">
        <f>IFERROR(__xludf.DUMMYFUNCTION("""COMPUTED_VALUE"""),"Yes")</f>
        <v>Yes</v>
      </c>
      <c r="N60" s="1" t="str">
        <f>IFERROR(__xludf.DUMMYFUNCTION("""COMPUTED_VALUE"""),"China")</f>
        <v>China</v>
      </c>
      <c r="O60" s="1" t="str">
        <f>IFERROR(__xludf.DUMMYFUNCTION("""COMPUTED_VALUE"""),"Hong Kong")</f>
        <v>Hong Kong</v>
      </c>
      <c r="P60" s="1" t="str">
        <f>IFERROR(__xludf.DUMMYFUNCTION("""COMPUTED_VALUE"""),"South Africa")</f>
        <v>South Africa</v>
      </c>
      <c r="Q60" s="1" t="str">
        <f>IFERROR(__xludf.DUMMYFUNCTION("""COMPUTED_VALUE"""),"Johannesburg")</f>
        <v>Johannesburg</v>
      </c>
      <c r="R60" s="1" t="str">
        <f>IFERROR(__xludf.DUMMYFUNCTION("""COMPUTED_VALUE"""),"Air")</f>
        <v>Air</v>
      </c>
      <c r="S60" s="1" t="str">
        <f>IFERROR(__xludf.DUMMYFUNCTION("""COMPUTED_VALUE"""),"FOB")</f>
        <v>FOB</v>
      </c>
      <c r="T60" s="1" t="str">
        <f>IFERROR(__xludf.DUMMYFUNCTION("""COMPUTED_VALUE"""),"ISTONE INNOVATION LIMITED")</f>
        <v>ISTONE INNOVATION LIMITED</v>
      </c>
      <c r="U60" s="1"/>
      <c r="V60" s="1"/>
      <c r="W60" s="1"/>
      <c r="X60" s="1"/>
      <c r="Y60" s="1"/>
    </row>
    <row r="61" customHeight="1" spans="1: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customHeight="1" spans="1:25">
      <c r="A62" s="1" t="str">
        <f>IFERROR(__xludf.DUMMYFUNCTION("""COMPUTED_VALUE"""),"zVFxQXBR2FZuIs2omRWCJq")</f>
        <v>zVFxQXBR2FZuIs2omRWCJq</v>
      </c>
      <c r="B62" s="1">
        <f>IFERROR(__xludf.DUMMYFUNCTION("""COMPUTED_VALUE"""),61)</f>
        <v>61</v>
      </c>
      <c r="C62" s="1" t="str">
        <f>IFERROR(__xludf.DUMMYFUNCTION("""COMPUTED_VALUE"""),"DL61")</f>
        <v>DL61</v>
      </c>
      <c r="D62" s="2">
        <f>IFERROR(__xludf.DUMMYFUNCTION("""COMPUTED_VALUE"""),45175)</f>
        <v>45175</v>
      </c>
      <c r="E62" s="1" t="str">
        <f>IFERROR(__xludf.DUMMYFUNCTION("""COMPUTED_VALUE"""),"Vuyani Ndlovu")</f>
        <v>Vuyani Ndlovu</v>
      </c>
      <c r="F62" s="1" t="str">
        <f>IFERROR(__xludf.DUMMYFUNCTION("""COMPUTED_VALUE"""),"333")</f>
        <v>333</v>
      </c>
      <c r="G62" s="1" t="str">
        <f>IFERROR(__xludf.DUMMYFUNCTION("""COMPUTED_VALUE"""),"Medical Feeding Tubes")</f>
        <v>Medical Feeding Tubes</v>
      </c>
      <c r="H62" s="1">
        <f>IFERROR(__xludf.DUMMYFUNCTION("""COMPUTED_VALUE"""),1)</f>
        <v>1</v>
      </c>
      <c r="I62" s="1"/>
      <c r="J62" s="1">
        <f>IFERROR(__xludf.DUMMYFUNCTION("""COMPUTED_VALUE"""),2.2)</f>
        <v>2.2</v>
      </c>
      <c r="K62" s="1">
        <f>IFERROR(__xludf.DUMMYFUNCTION("""COMPUTED_VALUE"""),1100)</f>
        <v>1100</v>
      </c>
      <c r="L62" s="1" t="str">
        <f>IFERROR(__xludf.DUMMYFUNCTION("""COMPUTED_VALUE"""),"Yes")</f>
        <v>Yes</v>
      </c>
      <c r="M62" s="1" t="str">
        <f>IFERROR(__xludf.DUMMYFUNCTION("""COMPUTED_VALUE"""),"Yes")</f>
        <v>Yes</v>
      </c>
      <c r="N62" s="1" t="str">
        <f>IFERROR(__xludf.DUMMYFUNCTION("""COMPUTED_VALUE"""),"CHINA")</f>
        <v>CHINA</v>
      </c>
      <c r="O62" s="1" t="str">
        <f>IFERROR(__xludf.DUMMYFUNCTION("""COMPUTED_VALUE"""),"QINGDAO")</f>
        <v>QINGDAO</v>
      </c>
      <c r="P62" s="1" t="str">
        <f>IFERROR(__xludf.DUMMYFUNCTION("""COMPUTED_VALUE"""),"SOUTH AFRICA")</f>
        <v>SOUTH AFRICA</v>
      </c>
      <c r="Q62" s="1" t="str">
        <f>IFERROR(__xludf.DUMMYFUNCTION("""COMPUTED_VALUE"""),"PORT ELIZABETH")</f>
        <v>PORT ELIZABETH</v>
      </c>
      <c r="R62" s="1" t="str">
        <f>IFERROR(__xludf.DUMMYFUNCTION("""COMPUTED_VALUE"""),"Sea")</f>
        <v>Sea</v>
      </c>
      <c r="S62" s="1" t="str">
        <f>IFERROR(__xludf.DUMMYFUNCTION("""COMPUTED_VALUE"""),"FCA")</f>
        <v>FCA</v>
      </c>
      <c r="T62" s="1" t="str">
        <f>IFERROR(__xludf.DUMMYFUNCTION("""COMPUTED_VALUE"""),"ZHENGZHOU HANFA IMP &amp; EXP TRADING CO., LTD")</f>
        <v>ZHENGZHOU HANFA IMP &amp; EXP TRADING CO., LTD</v>
      </c>
      <c r="U62" s="1"/>
      <c r="V62" s="1"/>
      <c r="W62" s="1" t="str">
        <f>IFERROR(__xludf.DUMMYFUNCTION("""COMPUTED_VALUE"""),"+86-371-55019184")</f>
        <v>+86-371-55019184</v>
      </c>
      <c r="X62" s="1"/>
      <c r="Y62" s="1"/>
    </row>
    <row r="63" customHeight="1" spans="1:25">
      <c r="A63" s="1" t="str">
        <f>IFERROR(__xludf.DUMMYFUNCTION("""COMPUTED_VALUE"""),"3UCyYYP7cHoxqZo8SA6KCA")</f>
        <v>3UCyYYP7cHoxqZo8SA6KCA</v>
      </c>
      <c r="B63" s="1">
        <f>IFERROR(__xludf.DUMMYFUNCTION("""COMPUTED_VALUE"""),62)</f>
        <v>62</v>
      </c>
      <c r="C63" s="1" t="str">
        <f>IFERROR(__xludf.DUMMYFUNCTION("""COMPUTED_VALUE"""),"DL62")</f>
        <v>DL62</v>
      </c>
      <c r="D63" s="2">
        <f>IFERROR(__xludf.DUMMYFUNCTION("""COMPUTED_VALUE"""),45210)</f>
        <v>45210</v>
      </c>
      <c r="E63" s="1" t="str">
        <f>IFERROR(__xludf.DUMMYFUNCTION("""COMPUTED_VALUE"""),"Supra Health Care")</f>
        <v>Supra Health Care</v>
      </c>
      <c r="F63" s="1" t="str">
        <f>IFERROR(__xludf.DUMMYFUNCTION("""COMPUTED_VALUE"""),"678")</f>
        <v>678</v>
      </c>
      <c r="G63" s="1" t="str">
        <f>IFERROR(__xludf.DUMMYFUNCTION("""COMPUTED_VALUE"""),"Equipment")</f>
        <v>Equipment</v>
      </c>
      <c r="H63" s="1">
        <f>IFERROR(__xludf.DUMMYFUNCTION("""COMPUTED_VALUE"""),2)</f>
        <v>2</v>
      </c>
      <c r="I63" s="1"/>
      <c r="J63" s="1">
        <f>IFERROR(__xludf.DUMMYFUNCTION("""COMPUTED_VALUE"""),2.37)</f>
        <v>2.37</v>
      </c>
      <c r="K63" s="1">
        <f>IFERROR(__xludf.DUMMYFUNCTION("""COMPUTED_VALUE"""),365)</f>
        <v>365</v>
      </c>
      <c r="L63" s="1" t="str">
        <f>IFERROR(__xludf.DUMMYFUNCTION("""COMPUTED_VALUE"""),"Yes")</f>
        <v>Yes</v>
      </c>
      <c r="M63" s="1" t="str">
        <f>IFERROR(__xludf.DUMMYFUNCTION("""COMPUTED_VALUE"""),"Yes")</f>
        <v>Yes</v>
      </c>
      <c r="N63" s="1" t="str">
        <f>IFERROR(__xludf.DUMMYFUNCTION("""COMPUTED_VALUE"""),"Spain")</f>
        <v>Spain</v>
      </c>
      <c r="O63" s="1" t="str">
        <f>IFERROR(__xludf.DUMMYFUNCTION("""COMPUTED_VALUE"""),"Barcelona")</f>
        <v>Barcelona</v>
      </c>
      <c r="P63" s="1" t="str">
        <f>IFERROR(__xludf.DUMMYFUNCTION("""COMPUTED_VALUE"""),"South africa")</f>
        <v>South africa</v>
      </c>
      <c r="Q63" s="1" t="str">
        <f>IFERROR(__xludf.DUMMYFUNCTION("""COMPUTED_VALUE"""),"Johannesburg")</f>
        <v>Johannesburg</v>
      </c>
      <c r="R63" s="1" t="str">
        <f>IFERROR(__xludf.DUMMYFUNCTION("""COMPUTED_VALUE"""),"Air")</f>
        <v>Air</v>
      </c>
      <c r="S63" s="1" t="str">
        <f>IFERROR(__xludf.DUMMYFUNCTION("""COMPUTED_VALUE"""),"FCA")</f>
        <v>FCA</v>
      </c>
      <c r="T63" s="1" t="str">
        <f>IFERROR(__xludf.DUMMYFUNCTION("""COMPUTED_VALUE"""),"ORTOTECSA PEÑA DE FRANCIA, 8 POL. IND. ALQUITON")</f>
        <v>ORTOTECSA PEÑA DE FRANCIA, 8 POL. IND. ALQUITON</v>
      </c>
      <c r="U63" s="1"/>
      <c r="V63" s="1"/>
      <c r="W63" s="1" t="str">
        <f>IFERROR(__xludf.DUMMYFUNCTION("""COMPUTED_VALUE"""),"+34687487290")</f>
        <v>+34687487290</v>
      </c>
      <c r="X63" s="1"/>
      <c r="Y63" s="1"/>
    </row>
    <row r="64" customHeight="1" spans="1:25">
      <c r="A64" s="1" t="str">
        <f>IFERROR(__xludf.DUMMYFUNCTION("""COMPUTED_VALUE"""),"J1v9tmkItkxbGwmoUXkdFq")</f>
        <v>J1v9tmkItkxbGwmoUXkdFq</v>
      </c>
      <c r="B64" s="1">
        <f>IFERROR(__xludf.DUMMYFUNCTION("""COMPUTED_VALUE"""),63)</f>
        <v>63</v>
      </c>
      <c r="C64" s="1" t="str">
        <f>IFERROR(__xludf.DUMMYFUNCTION("""COMPUTED_VALUE"""),"DL63")</f>
        <v>DL63</v>
      </c>
      <c r="D64" s="2">
        <f>IFERROR(__xludf.DUMMYFUNCTION("""COMPUTED_VALUE"""),45212)</f>
        <v>45212</v>
      </c>
      <c r="E64" s="1" t="str">
        <f>IFERROR(__xludf.DUMMYFUNCTION("""COMPUTED_VALUE"""),"OMEGA SPICES AND FOODS IMPORT AND EXPORT")</f>
        <v>OMEGA SPICES AND FOODS IMPORT AND EXPORT</v>
      </c>
      <c r="F64" s="1">
        <f>IFERROR(__xludf.DUMMYFUNCTION("""COMPUTED_VALUE"""),100)</f>
        <v>100</v>
      </c>
      <c r="G64" s="1" t="str">
        <f>IFERROR(__xludf.DUMMYFUNCTION("""COMPUTED_VALUE"""),"Plastic packaging film roll")</f>
        <v>Plastic packaging film roll</v>
      </c>
      <c r="H64" s="1">
        <f>IFERROR(__xludf.DUMMYFUNCTION("""COMPUTED_VALUE"""),871)</f>
        <v>871</v>
      </c>
      <c r="I64" s="1"/>
      <c r="J64" s="1">
        <f>IFERROR(__xludf.DUMMYFUNCTION("""COMPUTED_VALUE"""),28.2)</f>
        <v>28.2</v>
      </c>
      <c r="K64" s="1">
        <f>IFERROR(__xludf.DUMMYFUNCTION("""COMPUTED_VALUE"""),18745)</f>
        <v>18745</v>
      </c>
      <c r="L64" s="1" t="str">
        <f>IFERROR(__xludf.DUMMYFUNCTION("""COMPUTED_VALUE"""),"Yes")</f>
        <v>Yes</v>
      </c>
      <c r="M64" s="1" t="str">
        <f>IFERROR(__xludf.DUMMYFUNCTION("""COMPUTED_VALUE"""),"Yes")</f>
        <v>Yes</v>
      </c>
      <c r="N64" s="1" t="str">
        <f>IFERROR(__xludf.DUMMYFUNCTION("""COMPUTED_VALUE"""),"China")</f>
        <v>China</v>
      </c>
      <c r="O64" s="1" t="str">
        <f>IFERROR(__xludf.DUMMYFUNCTION("""COMPUTED_VALUE"""),"Shantou, Guangdong")</f>
        <v>Shantou, Guangdong</v>
      </c>
      <c r="P64" s="1" t="str">
        <f>IFERROR(__xludf.DUMMYFUNCTION("""COMPUTED_VALUE"""),"South Africa")</f>
        <v>South Africa</v>
      </c>
      <c r="Q64" s="1" t="str">
        <f>IFERROR(__xludf.DUMMYFUNCTION("""COMPUTED_VALUE"""),"Johannesburg")</f>
        <v>Johannesburg</v>
      </c>
      <c r="R64" s="1" t="str">
        <f>IFERROR(__xludf.DUMMYFUNCTION("""COMPUTED_VALUE"""),"Sea")</f>
        <v>Sea</v>
      </c>
      <c r="S64" s="1" t="str">
        <f>IFERROR(__xludf.DUMMYFUNCTION("""COMPUTED_VALUE"""),"FOB")</f>
        <v>FOB</v>
      </c>
      <c r="T64" s="1" t="str">
        <f>IFERROR(__xludf.DUMMYFUNCTION("""COMPUTED_VALUE"""),"SHENZHEN GRAND IMPORT AND EXPORT CO.,LTD.SHENZHEN,CHINA")</f>
        <v>SHENZHEN GRAND IMPORT AND EXPORT CO.,LTD.SHENZHEN,CHINA</v>
      </c>
      <c r="U64" s="1"/>
      <c r="V64" s="1"/>
      <c r="W64" s="1"/>
      <c r="X64" s="1"/>
      <c r="Y64" s="1"/>
    </row>
    <row r="65" customHeight="1" spans="1:25">
      <c r="A65" s="1" t="str">
        <f>IFERROR(__xludf.DUMMYFUNCTION("""COMPUTED_VALUE"""),"00E6BjxhLJ8afC0ql9HOeo")</f>
        <v>00E6BjxhLJ8afC0ql9HOeo</v>
      </c>
      <c r="B65" s="1">
        <f>IFERROR(__xludf.DUMMYFUNCTION("""COMPUTED_VALUE"""),64)</f>
        <v>64</v>
      </c>
      <c r="C65" s="1" t="str">
        <f>IFERROR(__xludf.DUMMYFUNCTION("""COMPUTED_VALUE"""),"DL64")</f>
        <v>DL64</v>
      </c>
      <c r="D65" s="2">
        <f>IFERROR(__xludf.DUMMYFUNCTION("""COMPUTED_VALUE"""),45208)</f>
        <v>45208</v>
      </c>
      <c r="E65" s="1" t="str">
        <f>IFERROR(__xludf.DUMMYFUNCTION("""COMPUTED_VALUE"""),"KONE AND JC")</f>
        <v>KONE AND JC</v>
      </c>
      <c r="F65" s="1" t="str">
        <f>IFERROR(__xludf.DUMMYFUNCTION("""COMPUTED_VALUE"""),"129")</f>
        <v>129</v>
      </c>
      <c r="G65" s="1" t="str">
        <f>IFERROR(__xludf.DUMMYFUNCTION("""COMPUTED_VALUE"""),"SAFETY CLOTHING")</f>
        <v>SAFETY CLOTHING</v>
      </c>
      <c r="H65" s="1">
        <f>IFERROR(__xludf.DUMMYFUNCTION("""COMPUTED_VALUE"""),48)</f>
        <v>48</v>
      </c>
      <c r="I65" s="1"/>
      <c r="J65" s="1">
        <f>IFERROR(__xludf.DUMMYFUNCTION("""COMPUTED_VALUE"""),3.05)</f>
        <v>3.05</v>
      </c>
      <c r="K65" s="1">
        <f>IFERROR(__xludf.DUMMYFUNCTION("""COMPUTED_VALUE"""),800)</f>
        <v>800</v>
      </c>
      <c r="L65" s="1" t="str">
        <f>IFERROR(__xludf.DUMMYFUNCTION("""COMPUTED_VALUE"""),"Yes")</f>
        <v>Yes</v>
      </c>
      <c r="M65" s="1" t="str">
        <f>IFERROR(__xludf.DUMMYFUNCTION("""COMPUTED_VALUE"""),"Yes")</f>
        <v>Yes</v>
      </c>
      <c r="N65" s="1" t="str">
        <f>IFERROR(__xludf.DUMMYFUNCTION("""COMPUTED_VALUE"""),"South Africa")</f>
        <v>South Africa</v>
      </c>
      <c r="O65" s="1" t="str">
        <f>IFERROR(__xludf.DUMMYFUNCTION("""COMPUTED_VALUE"""),"Johannesburg")</f>
        <v>Johannesburg</v>
      </c>
      <c r="P65" s="1" t="str">
        <f>IFERROR(__xludf.DUMMYFUNCTION("""COMPUTED_VALUE"""),"Angola")</f>
        <v>Angola</v>
      </c>
      <c r="Q65" s="1" t="str">
        <f>IFERROR(__xludf.DUMMYFUNCTION("""COMPUTED_VALUE"""),"Luanda")</f>
        <v>Luanda</v>
      </c>
      <c r="R65" s="1" t="str">
        <f>IFERROR(__xludf.DUMMYFUNCTION("""COMPUTED_VALUE"""),"Air")</f>
        <v>Air</v>
      </c>
      <c r="S65" s="1" t="str">
        <f>IFERROR(__xludf.DUMMYFUNCTION("""COMPUTED_VALUE"""),"EXW")</f>
        <v>EXW</v>
      </c>
      <c r="T65" s="1" t="str">
        <f>IFERROR(__xludf.DUMMYFUNCTION("""COMPUTED_VALUE"""),"ASIA DIRECT")</f>
        <v>ASIA DIRECT</v>
      </c>
      <c r="U65" s="1"/>
      <c r="V65" s="1" t="str">
        <f>IFERROR(__xludf.DUMMYFUNCTION("""COMPUTED_VALUE"""),"support@asiadirect.africa")</f>
        <v>support@asiadirect.africa</v>
      </c>
      <c r="W65" s="1">
        <f>IFERROR(__xludf.DUMMYFUNCTION("""COMPUTED_VALUE"""),27104480733)</f>
        <v>27104480733</v>
      </c>
      <c r="X65" s="1"/>
      <c r="Y65" s="1"/>
    </row>
    <row r="66" customHeight="1" spans="1:25">
      <c r="A66" s="1" t="str">
        <f>IFERROR(__xludf.DUMMYFUNCTION("""COMPUTED_VALUE"""),"bahNGyN9HGgJCqtwvUk5v1")</f>
        <v>bahNGyN9HGgJCqtwvUk5v1</v>
      </c>
      <c r="B66" s="1">
        <f>IFERROR(__xludf.DUMMYFUNCTION("""COMPUTED_VALUE"""),65)</f>
        <v>65</v>
      </c>
      <c r="C66" s="1" t="str">
        <f>IFERROR(__xludf.DUMMYFUNCTION("""COMPUTED_VALUE"""),"DL65")</f>
        <v>DL65</v>
      </c>
      <c r="D66" s="2">
        <f>IFERROR(__xludf.DUMMYFUNCTION("""COMPUTED_VALUE"""),45215)</f>
        <v>45215</v>
      </c>
      <c r="E66" s="1" t="str">
        <f>IFERROR(__xludf.DUMMYFUNCTION("""COMPUTED_VALUE"""),"KONE AND JC")</f>
        <v>KONE AND JC</v>
      </c>
      <c r="F66" s="1" t="str">
        <f>IFERROR(__xludf.DUMMYFUNCTION("""COMPUTED_VALUE"""),"129")</f>
        <v>129</v>
      </c>
      <c r="G66" s="1" t="str">
        <f>IFERROR(__xludf.DUMMYFUNCTION("""COMPUTED_VALUE"""),"Laptop")</f>
        <v>Laptop</v>
      </c>
      <c r="H66" s="1">
        <f>IFERROR(__xludf.DUMMYFUNCTION("""COMPUTED_VALUE"""),1)</f>
        <v>1</v>
      </c>
      <c r="I66" s="1"/>
      <c r="J66" s="1">
        <f>IFERROR(__xludf.DUMMYFUNCTION("""COMPUTED_VALUE"""),0.01)</f>
        <v>0.01</v>
      </c>
      <c r="K66" s="1">
        <f>IFERROR(__xludf.DUMMYFUNCTION("""COMPUTED_VALUE"""),2)</f>
        <v>2</v>
      </c>
      <c r="L66" s="1" t="str">
        <f>IFERROR(__xludf.DUMMYFUNCTION("""COMPUTED_VALUE"""),"Yes")</f>
        <v>Yes</v>
      </c>
      <c r="M66" s="1" t="str">
        <f>IFERROR(__xludf.DUMMYFUNCTION("""COMPUTED_VALUE"""),"Yes")</f>
        <v>Yes</v>
      </c>
      <c r="N66" s="1" t="str">
        <f>IFERROR(__xludf.DUMMYFUNCTION("""COMPUTED_VALUE"""),"South Africa")</f>
        <v>South Africa</v>
      </c>
      <c r="O66" s="1" t="str">
        <f>IFERROR(__xludf.DUMMYFUNCTION("""COMPUTED_VALUE"""),"Kempton Park")</f>
        <v>Kempton Park</v>
      </c>
      <c r="P66" s="1" t="str">
        <f>IFERROR(__xludf.DUMMYFUNCTION("""COMPUTED_VALUE"""),"Angola")</f>
        <v>Angola</v>
      </c>
      <c r="Q66" s="1" t="str">
        <f>IFERROR(__xludf.DUMMYFUNCTION("""COMPUTED_VALUE"""),"Luanda")</f>
        <v>Luanda</v>
      </c>
      <c r="R66" s="1" t="str">
        <f>IFERROR(__xludf.DUMMYFUNCTION("""COMPUTED_VALUE"""),"Air")</f>
        <v>Air</v>
      </c>
      <c r="S66" s="1" t="str">
        <f>IFERROR(__xludf.DUMMYFUNCTION("""COMPUTED_VALUE"""),"FCA")</f>
        <v>FCA</v>
      </c>
      <c r="T66" s="1" t="str">
        <f>IFERROR(__xludf.DUMMYFUNCTION("""COMPUTED_VALUE"""),"Asia Direct")</f>
        <v>Asia Direct</v>
      </c>
      <c r="U66" s="1"/>
      <c r="V66" s="1" t="str">
        <f>IFERROR(__xludf.DUMMYFUNCTION("""COMPUTED_VALUE"""),"support@asiadirect.africa")</f>
        <v>support@asiadirect.africa</v>
      </c>
      <c r="W66" s="1">
        <f>IFERROR(__xludf.DUMMYFUNCTION("""COMPUTED_VALUE"""),27104480733)</f>
        <v>27104480733</v>
      </c>
      <c r="X66" s="1"/>
      <c r="Y66" s="1"/>
    </row>
    <row r="67" customHeight="1" spans="1:25">
      <c r="A67" s="1" t="str">
        <f>IFERROR(__xludf.DUMMYFUNCTION("""COMPUTED_VALUE"""),"50O8VVsBBh8igYlZOe6lv7")</f>
        <v>50O8VVsBBh8igYlZOe6lv7</v>
      </c>
      <c r="B67" s="1">
        <f>IFERROR(__xludf.DUMMYFUNCTION("""COMPUTED_VALUE"""),66)</f>
        <v>66</v>
      </c>
      <c r="C67" s="1" t="str">
        <f>IFERROR(__xludf.DUMMYFUNCTION("""COMPUTED_VALUE"""),"DL66")</f>
        <v>DL66</v>
      </c>
      <c r="D67" s="2">
        <f>IFERROR(__xludf.DUMMYFUNCTION("""COMPUTED_VALUE"""),45219)</f>
        <v>45219</v>
      </c>
      <c r="E67" s="1" t="str">
        <f>IFERROR(__xludf.DUMMYFUNCTION("""COMPUTED_VALUE"""),"Top tech Catering")</f>
        <v>Top tech Catering</v>
      </c>
      <c r="F67" s="1" t="str">
        <f>IFERROR(__xludf.DUMMYFUNCTION("""COMPUTED_VALUE"""),"82")</f>
        <v>82</v>
      </c>
      <c r="G67" s="1" t="str">
        <f>IFERROR(__xludf.DUMMYFUNCTION("""COMPUTED_VALUE"""),"CATERING EQUIPMENT")</f>
        <v>CATERING EQUIPMENT</v>
      </c>
      <c r="H67" s="1">
        <f>IFERROR(__xludf.DUMMYFUNCTION("""COMPUTED_VALUE"""),122)</f>
        <v>122</v>
      </c>
      <c r="I67" s="1"/>
      <c r="J67" s="1">
        <f>IFERROR(__xludf.DUMMYFUNCTION("""COMPUTED_VALUE"""),67.06)</f>
        <v>67.06</v>
      </c>
      <c r="K67" s="1">
        <f>IFERROR(__xludf.DUMMYFUNCTION("""COMPUTED_VALUE"""),10200)</f>
        <v>10200</v>
      </c>
      <c r="L67" s="1" t="str">
        <f>IFERROR(__xludf.DUMMYFUNCTION("""COMPUTED_VALUE"""),"Yes")</f>
        <v>Yes</v>
      </c>
      <c r="M67" s="1" t="str">
        <f>IFERROR(__xludf.DUMMYFUNCTION("""COMPUTED_VALUE"""),"Yes")</f>
        <v>Yes</v>
      </c>
      <c r="N67" s="1" t="str">
        <f>IFERROR(__xludf.DUMMYFUNCTION("""COMPUTED_VALUE"""),"China")</f>
        <v>China</v>
      </c>
      <c r="O67" s="1" t="str">
        <f>IFERROR(__xludf.DUMMYFUNCTION("""COMPUTED_VALUE"""),"GUANGZHOU")</f>
        <v>GUANGZHOU</v>
      </c>
      <c r="P67" s="1" t="str">
        <f>IFERROR(__xludf.DUMMYFUNCTION("""COMPUTED_VALUE"""),"South Africa")</f>
        <v>South Africa</v>
      </c>
      <c r="Q67" s="1" t="str">
        <f>IFERROR(__xludf.DUMMYFUNCTION("""COMPUTED_VALUE"""),"Johannesburg")</f>
        <v>Johannesburg</v>
      </c>
      <c r="R67" s="1" t="str">
        <f>IFERROR(__xludf.DUMMYFUNCTION("""COMPUTED_VALUE"""),"Sea")</f>
        <v>Sea</v>
      </c>
      <c r="S67" s="1" t="str">
        <f>IFERROR(__xludf.DUMMYFUNCTION("""COMPUTED_VALUE"""),"EXW")</f>
        <v>EXW</v>
      </c>
      <c r="T67" s="1" t="str">
        <f>IFERROR(__xludf.DUMMYFUNCTION("""COMPUTED_VALUE"""),"GUANGZHOU WEI GE MACHINERY EQUIPMENT CO., LTD ROOM 101,201,NO.116 &amp; ROOM 101,NO.106 TANGGE GREEN MIDDLE ROAD,BAIYUN DISTRICT,GUANGZHOU,CHINA")</f>
        <v>GUANGZHOU WEI GE MACHINERY EQUIPMENT CO., LTD ROOM 101,201,NO.116 &amp; ROOM 101,NO.106 TANGGE GREEN MIDDLE ROAD,BAIYUN DISTRICT,GUANGZHOU,CHINA</v>
      </c>
      <c r="U67" s="1" t="str">
        <f>IFERROR(__xludf.DUMMYFUNCTION("""COMPUTED_VALUE"""),"Yong Xiang Lu, Long Gang Qu, Shen Zhen Shi, Guang Dong Sheng, China")</f>
        <v>Yong Xiang Lu, Long Gang Qu, Shen Zhen Shi, Guang Dong Sheng, China</v>
      </c>
      <c r="V67" s="1"/>
      <c r="W67" s="1" t="str">
        <f>IFERROR(__xludf.DUMMYFUNCTION("""COMPUTED_VALUE"""),"008675589699684")</f>
        <v>008675589699684</v>
      </c>
      <c r="X67" s="1"/>
      <c r="Y67" s="1"/>
    </row>
    <row r="68" customHeight="1" spans="1: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customHeight="1" spans="1: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customHeight="1" spans="1:25">
      <c r="A70" s="1" t="str">
        <f>IFERROR(__xludf.DUMMYFUNCTION("""COMPUTED_VALUE"""),"5GviPlVFHjUgze8zNQgV3D")</f>
        <v>5GviPlVFHjUgze8zNQgV3D</v>
      </c>
      <c r="B70" s="1">
        <f>IFERROR(__xludf.DUMMYFUNCTION("""COMPUTED_VALUE"""),69)</f>
        <v>69</v>
      </c>
      <c r="C70" s="1" t="str">
        <f>IFERROR(__xludf.DUMMYFUNCTION("""COMPUTED_VALUE"""),"DL69")</f>
        <v>DL69</v>
      </c>
      <c r="D70" s="2">
        <f>IFERROR(__xludf.DUMMYFUNCTION("""COMPUTED_VALUE"""),45218)</f>
        <v>45218</v>
      </c>
      <c r="E70" s="1" t="str">
        <f>IFERROR(__xludf.DUMMYFUNCTION("""COMPUTED_VALUE"""),"Polyvia")</f>
        <v>Polyvia</v>
      </c>
      <c r="F70" s="1" t="str">
        <f>IFERROR(__xludf.DUMMYFUNCTION("""COMPUTED_VALUE"""),"220")</f>
        <v>220</v>
      </c>
      <c r="G70" s="1" t="str">
        <f>IFERROR(__xludf.DUMMYFUNCTION("""COMPUTED_VALUE"""),"Baby Products")</f>
        <v>Baby Products</v>
      </c>
      <c r="H70" s="1">
        <f>IFERROR(__xludf.DUMMYFUNCTION("""COMPUTED_VALUE"""),1)</f>
        <v>1</v>
      </c>
      <c r="I70" s="1"/>
      <c r="J70" s="1">
        <f>IFERROR(__xludf.DUMMYFUNCTION("""COMPUTED_VALUE"""),0.01)</f>
        <v>0.01</v>
      </c>
      <c r="K70" s="1">
        <f>IFERROR(__xludf.DUMMYFUNCTION("""COMPUTED_VALUE"""),3)</f>
        <v>3</v>
      </c>
      <c r="L70" s="1" t="str">
        <f>IFERROR(__xludf.DUMMYFUNCTION("""COMPUTED_VALUE"""),"Yes")</f>
        <v>Yes</v>
      </c>
      <c r="M70" s="1" t="str">
        <f>IFERROR(__xludf.DUMMYFUNCTION("""COMPUTED_VALUE"""),"Yes")</f>
        <v>Yes</v>
      </c>
      <c r="N70" s="1" t="str">
        <f>IFERROR(__xludf.DUMMYFUNCTION("""COMPUTED_VALUE"""),"CHINA")</f>
        <v>CHINA</v>
      </c>
      <c r="O70" s="1" t="str">
        <f>IFERROR(__xludf.DUMMYFUNCTION("""COMPUTED_VALUE"""),"QUANZHOU")</f>
        <v>QUANZHOU</v>
      </c>
      <c r="P70" s="1" t="str">
        <f>IFERROR(__xludf.DUMMYFUNCTION("""COMPUTED_VALUE"""),"SOUTH AFRICA")</f>
        <v>SOUTH AFRICA</v>
      </c>
      <c r="Q70" s="1" t="str">
        <f>IFERROR(__xludf.DUMMYFUNCTION("""COMPUTED_VALUE"""),"MIDRAND")</f>
        <v>MIDRAND</v>
      </c>
      <c r="R70" s="1" t="str">
        <f>IFERROR(__xludf.DUMMYFUNCTION("""COMPUTED_VALUE"""),"Air")</f>
        <v>Air</v>
      </c>
      <c r="S70" s="1" t="str">
        <f>IFERROR(__xludf.DUMMYFUNCTION("""COMPUTED_VALUE"""),"FCA")</f>
        <v>FCA</v>
      </c>
      <c r="T70" s="1"/>
      <c r="U70" s="1"/>
      <c r="V70" s="1"/>
      <c r="W70" s="1"/>
      <c r="X70" s="1"/>
      <c r="Y70" s="1"/>
    </row>
    <row r="71" customHeight="1" spans="1:25">
      <c r="A71" s="1" t="str">
        <f>IFERROR(__xludf.DUMMYFUNCTION("""COMPUTED_VALUE"""),"Nm3KRWIWuz9SKEfSlInutq")</f>
        <v>Nm3KRWIWuz9SKEfSlInutq</v>
      </c>
      <c r="B71" s="1">
        <f>IFERROR(__xludf.DUMMYFUNCTION("""COMPUTED_VALUE"""),70)</f>
        <v>70</v>
      </c>
      <c r="C71" s="1" t="str">
        <f>IFERROR(__xludf.DUMMYFUNCTION("""COMPUTED_VALUE"""),"DL70")</f>
        <v>DL70</v>
      </c>
      <c r="D71" s="2">
        <f>IFERROR(__xludf.DUMMYFUNCTION("""COMPUTED_VALUE"""),45222)</f>
        <v>45222</v>
      </c>
      <c r="E71" s="1" t="str">
        <f>IFERROR(__xludf.DUMMYFUNCTION("""COMPUTED_VALUE"""),"Brent Badenhorst")</f>
        <v>Brent Badenhorst</v>
      </c>
      <c r="F71" s="1" t="str">
        <f>IFERROR(__xludf.DUMMYFUNCTION("""COMPUTED_VALUE"""),"82356")</f>
        <v>82356</v>
      </c>
      <c r="G71" s="1" t="str">
        <f>IFERROR(__xludf.DUMMYFUNCTION("""COMPUTED_VALUE"""),"Webbing Straps")</f>
        <v>Webbing Straps</v>
      </c>
      <c r="H71" s="1">
        <f>IFERROR(__xludf.DUMMYFUNCTION("""COMPUTED_VALUE"""),5)</f>
        <v>5</v>
      </c>
      <c r="I71" s="1"/>
      <c r="J71" s="1">
        <f>IFERROR(__xludf.DUMMYFUNCTION("""COMPUTED_VALUE"""),0.3)</f>
        <v>0.3</v>
      </c>
      <c r="K71" s="1">
        <f>IFERROR(__xludf.DUMMYFUNCTION("""COMPUTED_VALUE"""),60)</f>
        <v>60</v>
      </c>
      <c r="L71" s="1" t="str">
        <f>IFERROR(__xludf.DUMMYFUNCTION("""COMPUTED_VALUE"""),"Yes")</f>
        <v>Yes</v>
      </c>
      <c r="M71" s="1" t="str">
        <f>IFERROR(__xludf.DUMMYFUNCTION("""COMPUTED_VALUE"""),"Yes")</f>
        <v>Yes</v>
      </c>
      <c r="N71" s="1" t="str">
        <f>IFERROR(__xludf.DUMMYFUNCTION("""COMPUTED_VALUE"""),"China")</f>
        <v>China</v>
      </c>
      <c r="O71" s="1" t="str">
        <f>IFERROR(__xludf.DUMMYFUNCTION("""COMPUTED_VALUE"""),"Guangzhou")</f>
        <v>Guangzhou</v>
      </c>
      <c r="P71" s="1" t="str">
        <f>IFERROR(__xludf.DUMMYFUNCTION("""COMPUTED_VALUE"""),"South Africa")</f>
        <v>South Africa</v>
      </c>
      <c r="Q71" s="1" t="str">
        <f>IFERROR(__xludf.DUMMYFUNCTION("""COMPUTED_VALUE"""),"Durban")</f>
        <v>Durban</v>
      </c>
      <c r="R71" s="1" t="str">
        <f>IFERROR(__xludf.DUMMYFUNCTION("""COMPUTED_VALUE"""),"Sea")</f>
        <v>Sea</v>
      </c>
      <c r="S71" s="1" t="str">
        <f>IFERROR(__xludf.DUMMYFUNCTION("""COMPUTED_VALUE"""),"EXW")</f>
        <v>EXW</v>
      </c>
      <c r="T71" s="1" t="str">
        <f>IFERROR(__xludf.DUMMYFUNCTION("""COMPUTED_VALUE"""),"Shenzhen Nimbus Shipping Co Ltd")</f>
        <v>Shenzhen Nimbus Shipping Co Ltd</v>
      </c>
      <c r="U71" s="1" t="str">
        <f>IFERROR(__xludf.DUMMYFUNCTION("""COMPUTED_VALUE"""),"RM416,V VALLEY CITY SHANHAI,NO.1 YONGXIANG ROAD,BANTIAN STREET,LONGGANG DISTRICT,SHENZHEN,CHINA.")</f>
        <v>RM416,V VALLEY CITY SHANHAI,NO.1 YONGXIANG ROAD,BANTIAN STREET,LONGGANG DISTRICT,SHENZHEN,CHINA.</v>
      </c>
      <c r="V71" s="1" t="str">
        <f>IFERROR(__xludf.DUMMYFUNCTION("""COMPUTED_VALUE"""),"aya.long@nbs-shipping.com")</f>
        <v>aya.long@nbs-shipping.com</v>
      </c>
      <c r="W71" s="1" t="str">
        <f>IFERROR(__xludf.DUMMYFUNCTION("""COMPUTED_VALUE"""),"008675589699684")</f>
        <v>008675589699684</v>
      </c>
      <c r="X71" s="1"/>
      <c r="Y71" s="1"/>
    </row>
    <row r="72" customHeight="1" spans="1:25">
      <c r="A72" s="1" t="str">
        <f>IFERROR(__xludf.DUMMYFUNCTION("""COMPUTED_VALUE"""),"PqruoreZJoAmkWvLq5Qz32")</f>
        <v>PqruoreZJoAmkWvLq5Qz32</v>
      </c>
      <c r="B72" s="1">
        <f>IFERROR(__xludf.DUMMYFUNCTION("""COMPUTED_VALUE"""),71)</f>
        <v>71</v>
      </c>
      <c r="C72" s="1" t="str">
        <f>IFERROR(__xludf.DUMMYFUNCTION("""COMPUTED_VALUE"""),"DL71")</f>
        <v>DL71</v>
      </c>
      <c r="D72" s="2">
        <f>IFERROR(__xludf.DUMMYFUNCTION("""COMPUTED_VALUE"""),45196)</f>
        <v>45196</v>
      </c>
      <c r="E72" s="1" t="str">
        <f>IFERROR(__xludf.DUMMYFUNCTION("""COMPUTED_VALUE"""),"Henry")</f>
        <v>Henry</v>
      </c>
      <c r="F72" s="1" t="str">
        <f>IFERROR(__xludf.DUMMYFUNCTION("""COMPUTED_VALUE"""),"28")</f>
        <v>28</v>
      </c>
      <c r="G72" s="1" t="str">
        <f>IFERROR(__xludf.DUMMYFUNCTION("""COMPUTED_VALUE"""),"Film Packaging")</f>
        <v>Film Packaging</v>
      </c>
      <c r="H72" s="1">
        <f>IFERROR(__xludf.DUMMYFUNCTION("""COMPUTED_VALUE"""),2)</f>
        <v>2</v>
      </c>
      <c r="I72" s="1"/>
      <c r="J72" s="1">
        <f>IFERROR(__xludf.DUMMYFUNCTION("""COMPUTED_VALUE"""),0.11)</f>
        <v>0.11</v>
      </c>
      <c r="K72" s="1">
        <f>IFERROR(__xludf.DUMMYFUNCTION("""COMPUTED_VALUE"""),53)</f>
        <v>53</v>
      </c>
      <c r="L72" s="1" t="str">
        <f>IFERROR(__xludf.DUMMYFUNCTION("""COMPUTED_VALUE"""),"Yes")</f>
        <v>Yes</v>
      </c>
      <c r="M72" s="1" t="str">
        <f>IFERROR(__xludf.DUMMYFUNCTION("""COMPUTED_VALUE"""),"Yes")</f>
        <v>Yes</v>
      </c>
      <c r="N72" s="1" t="str">
        <f>IFERROR(__xludf.DUMMYFUNCTION("""COMPUTED_VALUE"""),"China")</f>
        <v>China</v>
      </c>
      <c r="O72" s="1" t="str">
        <f>IFERROR(__xludf.DUMMYFUNCTION("""COMPUTED_VALUE"""),"Shenzhen")</f>
        <v>Shenzhen</v>
      </c>
      <c r="P72" s="1" t="str">
        <f>IFERROR(__xludf.DUMMYFUNCTION("""COMPUTED_VALUE"""),"South Africa")</f>
        <v>South Africa</v>
      </c>
      <c r="Q72" s="1" t="str">
        <f>IFERROR(__xludf.DUMMYFUNCTION("""COMPUTED_VALUE"""),"Edenvale")</f>
        <v>Edenvale</v>
      </c>
      <c r="R72" s="1" t="str">
        <f>IFERROR(__xludf.DUMMYFUNCTION("""COMPUTED_VALUE"""),"Air")</f>
        <v>Air</v>
      </c>
      <c r="S72" s="1" t="str">
        <f>IFERROR(__xludf.DUMMYFUNCTION("""COMPUTED_VALUE"""),"FCA")</f>
        <v>FCA</v>
      </c>
      <c r="T72" s="1" t="str">
        <f>IFERROR(__xludf.DUMMYFUNCTION("""COMPUTED_VALUE"""),"SHENZHEN NIMBUS SHIPPING CO LTD")</f>
        <v>SHENZHEN NIMBUS SHIPPING CO LTD</v>
      </c>
      <c r="U72" s="1"/>
      <c r="V72" s="1" t="str">
        <f>IFERROR(__xludf.DUMMYFUNCTION("""COMPUTED_VALUE"""),"aya.long@nbs-shipping.com")</f>
        <v>aya.long@nbs-shipping.com</v>
      </c>
      <c r="W72" s="1" t="str">
        <f>IFERROR(__xludf.DUMMYFUNCTION("""COMPUTED_VALUE"""),"+86 173 5444 0156")</f>
        <v>+86 173 5444 0156</v>
      </c>
      <c r="X72" s="1"/>
      <c r="Y72" s="1"/>
    </row>
    <row r="73" customHeight="1" spans="1: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customHeight="1" spans="1:25">
      <c r="A74" s="1" t="str">
        <f>IFERROR(__xludf.DUMMYFUNCTION("""COMPUTED_VALUE"""),"NFIe1GbQq9QmU6NsQBFGRX")</f>
        <v>NFIe1GbQq9QmU6NsQBFGRX</v>
      </c>
      <c r="B74" s="1">
        <f>IFERROR(__xludf.DUMMYFUNCTION("""COMPUTED_VALUE"""),73)</f>
        <v>73</v>
      </c>
      <c r="C74" s="1" t="str">
        <f>IFERROR(__xludf.DUMMYFUNCTION("""COMPUTED_VALUE"""),"DL73")</f>
        <v>DL73</v>
      </c>
      <c r="D74" s="2">
        <f>IFERROR(__xludf.DUMMYFUNCTION("""COMPUTED_VALUE"""),45225)</f>
        <v>45225</v>
      </c>
      <c r="E74" s="1" t="str">
        <f>IFERROR(__xludf.DUMMYFUNCTION("""COMPUTED_VALUE"""),"Omega Spices and Food Import and Export")</f>
        <v>Omega Spices and Food Import and Export</v>
      </c>
      <c r="F74" s="1">
        <f>IFERROR(__xludf.DUMMYFUNCTION("""COMPUTED_VALUE"""),73)</f>
        <v>73</v>
      </c>
      <c r="G74" s="1" t="str">
        <f>IFERROR(__xludf.DUMMYFUNCTION("""COMPUTED_VALUE"""),"Rice")</f>
        <v>Rice</v>
      </c>
      <c r="H74" s="1">
        <f>IFERROR(__xludf.DUMMYFUNCTION("""COMPUTED_VALUE"""),3)</f>
        <v>3</v>
      </c>
      <c r="I74" s="1"/>
      <c r="J74" s="1">
        <f>IFERROR(__xludf.DUMMYFUNCTION("""COMPUTED_VALUE"""),20)</f>
        <v>20</v>
      </c>
      <c r="K74" s="1">
        <f>IFERROR(__xludf.DUMMYFUNCTION("""COMPUTED_VALUE"""),18000)</f>
        <v>18000</v>
      </c>
      <c r="L74" s="1" t="str">
        <f>IFERROR(__xludf.DUMMYFUNCTION("""COMPUTED_VALUE"""),"Yes")</f>
        <v>Yes</v>
      </c>
      <c r="M74" s="1" t="str">
        <f>IFERROR(__xludf.DUMMYFUNCTION("""COMPUTED_VALUE"""),"Yes")</f>
        <v>Yes</v>
      </c>
      <c r="N74" s="1" t="str">
        <f>IFERROR(__xludf.DUMMYFUNCTION("""COMPUTED_VALUE"""),"India")</f>
        <v>India</v>
      </c>
      <c r="O74" s="1" t="str">
        <f>IFERROR(__xludf.DUMMYFUNCTION("""COMPUTED_VALUE"""),"HARYANA")</f>
        <v>HARYANA</v>
      </c>
      <c r="P74" s="1" t="str">
        <f>IFERROR(__xludf.DUMMYFUNCTION("""COMPUTED_VALUE"""),"South Africa")</f>
        <v>South Africa</v>
      </c>
      <c r="Q74" s="1" t="str">
        <f>IFERROR(__xludf.DUMMYFUNCTION("""COMPUTED_VALUE"""),"Johannesburg")</f>
        <v>Johannesburg</v>
      </c>
      <c r="R74" s="1" t="str">
        <f>IFERROR(__xludf.DUMMYFUNCTION("""COMPUTED_VALUE"""),"Sea")</f>
        <v>Sea</v>
      </c>
      <c r="S74" s="1" t="str">
        <f>IFERROR(__xludf.DUMMYFUNCTION("""COMPUTED_VALUE"""),"CIF")</f>
        <v>CIF</v>
      </c>
      <c r="T74" s="1" t="str">
        <f>IFERROR(__xludf.DUMMYFUNCTION("""COMPUTED_VALUE"""),"D.D. INTERNATIONAL PRIVATE LIMITED")</f>
        <v>D.D. INTERNATIONAL PRIVATE LIMITED</v>
      </c>
      <c r="U74" s="1" t="str">
        <f>IFERROR(__xludf.DUMMYFUNCTION("""COMPUTED_VALUE"""),"Amritsar, Punjab, India")</f>
        <v>Amritsar, Punjab, India</v>
      </c>
      <c r="V74" s="1"/>
      <c r="W74" s="1"/>
      <c r="X74" s="1"/>
      <c r="Y74" s="1"/>
    </row>
    <row r="75" customHeight="1" spans="1:25">
      <c r="A75" s="1" t="str">
        <f>IFERROR(__xludf.DUMMYFUNCTION("""COMPUTED_VALUE"""),"BZ6F5eelJWhYrpQInLhzpL")</f>
        <v>BZ6F5eelJWhYrpQInLhzpL</v>
      </c>
      <c r="B75" s="1">
        <f>IFERROR(__xludf.DUMMYFUNCTION("""COMPUTED_VALUE"""),74)</f>
        <v>74</v>
      </c>
      <c r="C75" s="1" t="str">
        <f>IFERROR(__xludf.DUMMYFUNCTION("""COMPUTED_VALUE"""),"DL74")</f>
        <v>DL74</v>
      </c>
      <c r="D75" s="2">
        <f>IFERROR(__xludf.DUMMYFUNCTION("""COMPUTED_VALUE"""),45232)</f>
        <v>45232</v>
      </c>
      <c r="E75" s="1" t="str">
        <f>IFERROR(__xludf.DUMMYFUNCTION("""COMPUTED_VALUE"""),"Shaheen Ally")</f>
        <v>Shaheen Ally</v>
      </c>
      <c r="F75" s="1" t="str">
        <f>IFERROR(__xludf.DUMMYFUNCTION("""COMPUTED_VALUE"""),"294")</f>
        <v>294</v>
      </c>
      <c r="G75" s="1" t="str">
        <f>IFERROR(__xludf.DUMMYFUNCTION("""COMPUTED_VALUE"""),"Memory Foam Rug Prayer")</f>
        <v>Memory Foam Rug Prayer</v>
      </c>
      <c r="H75" s="1">
        <f>IFERROR(__xludf.DUMMYFUNCTION("""COMPUTED_VALUE"""),1)</f>
        <v>1</v>
      </c>
      <c r="I75" s="1"/>
      <c r="J75" s="1">
        <f>IFERROR(__xludf.DUMMYFUNCTION("""COMPUTED_VALUE"""),0)</f>
        <v>0</v>
      </c>
      <c r="K75" s="1">
        <f>IFERROR(__xludf.DUMMYFUNCTION("""COMPUTED_VALUE"""),22)</f>
        <v>22</v>
      </c>
      <c r="L75" s="1" t="str">
        <f>IFERROR(__xludf.DUMMYFUNCTION("""COMPUTED_VALUE"""),"Yes")</f>
        <v>Yes</v>
      </c>
      <c r="M75" s="1" t="str">
        <f>IFERROR(__xludf.DUMMYFUNCTION("""COMPUTED_VALUE"""),"Yes")</f>
        <v>Yes</v>
      </c>
      <c r="N75" s="1"/>
      <c r="O75" s="1"/>
      <c r="P75" s="1"/>
      <c r="Q75" s="1"/>
      <c r="R75" s="1" t="str">
        <f>IFERROR(__xludf.DUMMYFUNCTION("""COMPUTED_VALUE"""),"Air")</f>
        <v>Air</v>
      </c>
      <c r="S75" s="1" t="str">
        <f>IFERROR(__xludf.DUMMYFUNCTION("""COMPUTED_VALUE"""),"CIF")</f>
        <v>CIF</v>
      </c>
      <c r="T75" s="1"/>
      <c r="U75" s="1"/>
      <c r="V75" s="1"/>
      <c r="W75" s="1"/>
      <c r="X75" s="1"/>
      <c r="Y75" s="1"/>
    </row>
    <row r="76" customHeight="1" spans="1:25">
      <c r="A76" s="1" t="str">
        <f>IFERROR(__xludf.DUMMYFUNCTION("""COMPUTED_VALUE"""),"UsuG7aifpKxvbwyKIEsWkk")</f>
        <v>UsuG7aifpKxvbwyKIEsWkk</v>
      </c>
      <c r="B76" s="1">
        <f>IFERROR(__xludf.DUMMYFUNCTION("""COMPUTED_VALUE"""),75)</f>
        <v>75</v>
      </c>
      <c r="C76" s="1" t="str">
        <f>IFERROR(__xludf.DUMMYFUNCTION("""COMPUTED_VALUE"""),"DL75")</f>
        <v>DL75</v>
      </c>
      <c r="D76" s="2">
        <f>IFERROR(__xludf.DUMMYFUNCTION("""COMPUTED_VALUE"""),45224)</f>
        <v>45224</v>
      </c>
      <c r="E76" s="1" t="str">
        <f>IFERROR(__xludf.DUMMYFUNCTION("""COMPUTED_VALUE"""),"Geleza Tech")</f>
        <v>Geleza Tech</v>
      </c>
      <c r="F76" s="1" t="str">
        <f>IFERROR(__xludf.DUMMYFUNCTION("""COMPUTED_VALUE"""),"159")</f>
        <v>159</v>
      </c>
      <c r="G76" s="1" t="str">
        <f>IFERROR(__xludf.DUMMYFUNCTION("""COMPUTED_VALUE"""),"Tablets")</f>
        <v>Tablets</v>
      </c>
      <c r="H76" s="1">
        <f>IFERROR(__xludf.DUMMYFUNCTION("""COMPUTED_VALUE"""),3)</f>
        <v>3</v>
      </c>
      <c r="I76" s="1"/>
      <c r="J76" s="1">
        <f>IFERROR(__xludf.DUMMYFUNCTION("""COMPUTED_VALUE"""),0.18)</f>
        <v>0.18</v>
      </c>
      <c r="K76" s="1">
        <f>IFERROR(__xludf.DUMMYFUNCTION("""COMPUTED_VALUE"""),47)</f>
        <v>47</v>
      </c>
      <c r="L76" s="1" t="str">
        <f>IFERROR(__xludf.DUMMYFUNCTION("""COMPUTED_VALUE"""),"Yes")</f>
        <v>Yes</v>
      </c>
      <c r="M76" s="1" t="str">
        <f>IFERROR(__xludf.DUMMYFUNCTION("""COMPUTED_VALUE"""),"Yes")</f>
        <v>Yes</v>
      </c>
      <c r="N76" s="1" t="str">
        <f>IFERROR(__xludf.DUMMYFUNCTION("""COMPUTED_VALUE"""),"CHINA")</f>
        <v>CHINA</v>
      </c>
      <c r="O76" s="1" t="str">
        <f>IFERROR(__xludf.DUMMYFUNCTION("""COMPUTED_VALUE"""),"SHENZHEN")</f>
        <v>SHENZHEN</v>
      </c>
      <c r="P76" s="1" t="str">
        <f>IFERROR(__xludf.DUMMYFUNCTION("""COMPUTED_VALUE"""),"SOUTH AFRICA")</f>
        <v>SOUTH AFRICA</v>
      </c>
      <c r="Q76" s="1" t="str">
        <f>IFERROR(__xludf.DUMMYFUNCTION("""COMPUTED_VALUE"""),"MIDRAND")</f>
        <v>MIDRAND</v>
      </c>
      <c r="R76" s="1" t="str">
        <f>IFERROR(__xludf.DUMMYFUNCTION("""COMPUTED_VALUE"""),"Air")</f>
        <v>Air</v>
      </c>
      <c r="S76" s="1" t="str">
        <f>IFERROR(__xludf.DUMMYFUNCTION("""COMPUTED_VALUE"""),"FCA")</f>
        <v>FCA</v>
      </c>
      <c r="T76" s="1" t="str">
        <f>IFERROR(__xludf.DUMMYFUNCTION("""COMPUTED_VALUE"""),"LI XIAO")</f>
        <v>LI XIAO</v>
      </c>
      <c r="U76" s="1"/>
      <c r="V76" s="1"/>
      <c r="W76" s="1">
        <f>IFERROR(__xludf.DUMMYFUNCTION("""COMPUTED_VALUE"""),13715218663)</f>
        <v>13715218663</v>
      </c>
      <c r="X76" s="1"/>
      <c r="Y76" s="1"/>
    </row>
    <row r="77" customHeight="1" spans="1:25">
      <c r="A77" s="1" t="str">
        <f>IFERROR(__xludf.DUMMYFUNCTION("""COMPUTED_VALUE"""),"vNd7V5Q0nBSp4OfEGPGr8u")</f>
        <v>vNd7V5Q0nBSp4OfEGPGr8u</v>
      </c>
      <c r="B77" s="1">
        <f>IFERROR(__xludf.DUMMYFUNCTION("""COMPUTED_VALUE"""),76)</f>
        <v>76</v>
      </c>
      <c r="C77" s="1" t="str">
        <f>IFERROR(__xludf.DUMMYFUNCTION("""COMPUTED_VALUE"""),"DL76")</f>
        <v>DL76</v>
      </c>
      <c r="D77" s="2">
        <f>IFERROR(__xludf.DUMMYFUNCTION("""COMPUTED_VALUE"""),45216)</f>
        <v>45216</v>
      </c>
      <c r="E77" s="1" t="str">
        <f>IFERROR(__xludf.DUMMYFUNCTION("""COMPUTED_VALUE"""),"Mzobanzi Sineke")</f>
        <v>Mzobanzi Sineke</v>
      </c>
      <c r="F77" s="1" t="str">
        <f>IFERROR(__xludf.DUMMYFUNCTION("""COMPUTED_VALUE"""),"174")</f>
        <v>174</v>
      </c>
      <c r="G77" s="1" t="str">
        <f>IFERROR(__xludf.DUMMYFUNCTION("""COMPUTED_VALUE"""),"Hand Corn Thresher")</f>
        <v>Hand Corn Thresher</v>
      </c>
      <c r="H77" s="1">
        <f>IFERROR(__xludf.DUMMYFUNCTION("""COMPUTED_VALUE"""),1)</f>
        <v>1</v>
      </c>
      <c r="I77" s="1"/>
      <c r="J77" s="1">
        <f>IFERROR(__xludf.DUMMYFUNCTION("""COMPUTED_VALUE"""),0.01)</f>
        <v>0.01</v>
      </c>
      <c r="K77" s="1">
        <f>IFERROR(__xludf.DUMMYFUNCTION("""COMPUTED_VALUE"""),7)</f>
        <v>7</v>
      </c>
      <c r="L77" s="1" t="str">
        <f>IFERROR(__xludf.DUMMYFUNCTION("""COMPUTED_VALUE"""),"Yes")</f>
        <v>Yes</v>
      </c>
      <c r="M77" s="1" t="str">
        <f>IFERROR(__xludf.DUMMYFUNCTION("""COMPUTED_VALUE"""),"Yes")</f>
        <v>Yes</v>
      </c>
      <c r="N77" s="1" t="str">
        <f>IFERROR(__xludf.DUMMYFUNCTION("""COMPUTED_VALUE"""),"CHINA")</f>
        <v>CHINA</v>
      </c>
      <c r="O77" s="1" t="str">
        <f>IFERROR(__xludf.DUMMYFUNCTION("""COMPUTED_VALUE"""),"Henan")</f>
        <v>Henan</v>
      </c>
      <c r="P77" s="1" t="str">
        <f>IFERROR(__xludf.DUMMYFUNCTION("""COMPUTED_VALUE"""),"SOUTH AFRICA")</f>
        <v>SOUTH AFRICA</v>
      </c>
      <c r="Q77" s="1" t="str">
        <f>IFERROR(__xludf.DUMMYFUNCTION("""COMPUTED_VALUE"""),"JHB")</f>
        <v>JHB</v>
      </c>
      <c r="R77" s="1" t="str">
        <f>IFERROR(__xludf.DUMMYFUNCTION("""COMPUTED_VALUE"""),"Air")</f>
        <v>Air</v>
      </c>
      <c r="S77" s="1" t="str">
        <f>IFERROR(__xludf.DUMMYFUNCTION("""COMPUTED_VALUE"""),"FCA")</f>
        <v>FCA</v>
      </c>
      <c r="T77" s="1" t="str">
        <f>IFERROR(__xludf.DUMMYFUNCTION("""COMPUTED_VALUE"""),"Fedex")</f>
        <v>Fedex</v>
      </c>
      <c r="U77" s="1" t="str">
        <f>IFERROR(__xludf.DUMMYFUNCTION("""COMPUTED_VALUE"""),"Dalingyacun, Dongguan, Guangdong Province, China, 523170")</f>
        <v>Dalingyacun, Dongguan, Guangdong Province, China, 523170</v>
      </c>
      <c r="V77" s="1" t="str">
        <f>IFERROR(__xludf.DUMMYFUNCTION("""COMPUTED_VALUE"""),"track@fedex.com")</f>
        <v>track@fedex.com</v>
      </c>
      <c r="W77" s="1" t="str">
        <f>IFERROR(__xludf.DUMMYFUNCTION("""COMPUTED_VALUE"""),"080 003 3339")</f>
        <v>080 003 3339</v>
      </c>
      <c r="X77" s="1"/>
      <c r="Y77" s="1"/>
    </row>
    <row r="78" customHeight="1" spans="1:25">
      <c r="A78" s="1" t="str">
        <f>IFERROR(__xludf.DUMMYFUNCTION("""COMPUTED_VALUE"""),"hKjF5HB6CKdnxbU8OvJekD")</f>
        <v>hKjF5HB6CKdnxbU8OvJekD</v>
      </c>
      <c r="B78" s="1">
        <f>IFERROR(__xludf.DUMMYFUNCTION("""COMPUTED_VALUE"""),77)</f>
        <v>77</v>
      </c>
      <c r="C78" s="1" t="str">
        <f>IFERROR(__xludf.DUMMYFUNCTION("""COMPUTED_VALUE"""),"DL77")</f>
        <v>DL77</v>
      </c>
      <c r="D78" s="2">
        <f>IFERROR(__xludf.DUMMYFUNCTION("""COMPUTED_VALUE"""),45255)</f>
        <v>45255</v>
      </c>
      <c r="E78" s="1" t="str">
        <f>IFERROR(__xludf.DUMMYFUNCTION("""COMPUTED_VALUE"""),"Filter Industries")</f>
        <v>Filter Industries</v>
      </c>
      <c r="F78" s="1" t="str">
        <f>IFERROR(__xludf.DUMMYFUNCTION("""COMPUTED_VALUE"""),"235")</f>
        <v>235</v>
      </c>
      <c r="G78" s="1" t="str">
        <f>IFERROR(__xludf.DUMMYFUNCTION("""COMPUTED_VALUE"""),"COMPRESSOR PARTS")</f>
        <v>COMPRESSOR PARTS</v>
      </c>
      <c r="H78" s="1">
        <f>IFERROR(__xludf.DUMMYFUNCTION("""COMPUTED_VALUE"""),78)</f>
        <v>78</v>
      </c>
      <c r="I78" s="1"/>
      <c r="J78" s="1">
        <f>IFERROR(__xludf.DUMMYFUNCTION("""COMPUTED_VALUE"""),10)</f>
        <v>10</v>
      </c>
      <c r="K78" s="1">
        <f>IFERROR(__xludf.DUMMYFUNCTION("""COMPUTED_VALUE"""),1050)</f>
        <v>1050</v>
      </c>
      <c r="L78" s="1" t="str">
        <f>IFERROR(__xludf.DUMMYFUNCTION("""COMPUTED_VALUE"""),"Yes")</f>
        <v>Yes</v>
      </c>
      <c r="M78" s="1" t="str">
        <f>IFERROR(__xludf.DUMMYFUNCTION("""COMPUTED_VALUE"""),"Yes")</f>
        <v>Yes</v>
      </c>
      <c r="N78" s="1" t="str">
        <f>IFERROR(__xludf.DUMMYFUNCTION("""COMPUTED_VALUE"""),"China")</f>
        <v>China</v>
      </c>
      <c r="O78" s="1" t="str">
        <f>IFERROR(__xludf.DUMMYFUNCTION("""COMPUTED_VALUE"""),"Qingdao")</f>
        <v>Qingdao</v>
      </c>
      <c r="P78" s="1" t="str">
        <f>IFERROR(__xludf.DUMMYFUNCTION("""COMPUTED_VALUE"""),"South Africa")</f>
        <v>South Africa</v>
      </c>
      <c r="Q78" s="1" t="str">
        <f>IFERROR(__xludf.DUMMYFUNCTION("""COMPUTED_VALUE"""),"Johannesburg")</f>
        <v>Johannesburg</v>
      </c>
      <c r="R78" s="1" t="str">
        <f>IFERROR(__xludf.DUMMYFUNCTION("""COMPUTED_VALUE"""),"Sea")</f>
        <v>Sea</v>
      </c>
      <c r="S78" s="1" t="str">
        <f>IFERROR(__xludf.DUMMYFUNCTION("""COMPUTED_VALUE"""),"FOB")</f>
        <v>FOB</v>
      </c>
      <c r="T78" s="1" t="str">
        <f>IFERROR(__xludf.DUMMYFUNCTION("""COMPUTED_VALUE"""),"XTSKY INDUSTRIAL GROUP LIMITED")</f>
        <v>XTSKY INDUSTRIAL GROUP LIMITED</v>
      </c>
      <c r="U78" s="1" t="str">
        <f>IFERROR(__xludf.DUMMYFUNCTION("""COMPUTED_VALUE"""),"Xingtai County, Xingtai, Hebei, China")</f>
        <v>Xingtai County, Xingtai, Hebei, China</v>
      </c>
      <c r="V78" s="1"/>
      <c r="W78" s="1" t="str">
        <f>IFERROR(__xludf.DUMMYFUNCTION("""COMPUTED_VALUE"""),"+8615227378981")</f>
        <v>+8615227378981</v>
      </c>
      <c r="X78" s="1"/>
      <c r="Y78" s="1"/>
    </row>
    <row r="79" customHeight="1" spans="1:25">
      <c r="A79" s="1" t="str">
        <f>IFERROR(__xludf.DUMMYFUNCTION("""COMPUTED_VALUE"""),"wflnej0106CbGuB2AHtH1S")</f>
        <v>wflnej0106CbGuB2AHtH1S</v>
      </c>
      <c r="B79" s="1">
        <f>IFERROR(__xludf.DUMMYFUNCTION("""COMPUTED_VALUE"""),78)</f>
        <v>78</v>
      </c>
      <c r="C79" s="1" t="str">
        <f>IFERROR(__xludf.DUMMYFUNCTION("""COMPUTED_VALUE"""),"DL78")</f>
        <v>DL78</v>
      </c>
      <c r="D79" s="2">
        <f>IFERROR(__xludf.DUMMYFUNCTION("""COMPUTED_VALUE"""),45239)</f>
        <v>45239</v>
      </c>
      <c r="E79" s="1" t="str">
        <f>IFERROR(__xludf.DUMMYFUNCTION("""COMPUTED_VALUE"""),"Mohammad Fouzan")</f>
        <v>Mohammad Fouzan</v>
      </c>
      <c r="F79" s="1" t="str">
        <f>IFERROR(__xludf.DUMMYFUNCTION("""COMPUTED_VALUE"""),"163")</f>
        <v>163</v>
      </c>
      <c r="G79" s="1" t="str">
        <f>IFERROR(__xludf.DUMMYFUNCTION("""COMPUTED_VALUE"""),"PLASTIC TOYS")</f>
        <v>PLASTIC TOYS</v>
      </c>
      <c r="H79" s="1">
        <f>IFERROR(__xludf.DUMMYFUNCTION("""COMPUTED_VALUE"""),8)</f>
        <v>8</v>
      </c>
      <c r="I79" s="1"/>
      <c r="J79" s="1">
        <f>IFERROR(__xludf.DUMMYFUNCTION("""COMPUTED_VALUE"""),1574)</f>
        <v>1574</v>
      </c>
      <c r="K79" s="1">
        <f>IFERROR(__xludf.DUMMYFUNCTION("""COMPUTED_VALUE"""),165000)</f>
        <v>165000</v>
      </c>
      <c r="L79" s="1" t="str">
        <f>IFERROR(__xludf.DUMMYFUNCTION("""COMPUTED_VALUE"""),"Yes")</f>
        <v>Yes</v>
      </c>
      <c r="M79" s="1" t="str">
        <f>IFERROR(__xludf.DUMMYFUNCTION("""COMPUTED_VALUE"""),"Yes")</f>
        <v>Yes</v>
      </c>
      <c r="N79" s="1" t="str">
        <f>IFERROR(__xludf.DUMMYFUNCTION("""COMPUTED_VALUE"""),"CHINA")</f>
        <v>CHINA</v>
      </c>
      <c r="O79" s="1"/>
      <c r="P79" s="1" t="str">
        <f>IFERROR(__xludf.DUMMYFUNCTION("""COMPUTED_VALUE"""),"South Africa")</f>
        <v>South Africa</v>
      </c>
      <c r="Q79" s="1" t="str">
        <f>IFERROR(__xludf.DUMMYFUNCTION("""COMPUTED_VALUE"""),"JOHANNESBURG")</f>
        <v>JOHANNESBURG</v>
      </c>
      <c r="R79" s="1" t="str">
        <f>IFERROR(__xludf.DUMMYFUNCTION("""COMPUTED_VALUE"""),"Sea")</f>
        <v>Sea</v>
      </c>
      <c r="S79" s="1" t="str">
        <f>IFERROR(__xludf.DUMMYFUNCTION("""COMPUTED_VALUE"""),"FCA")</f>
        <v>FCA</v>
      </c>
      <c r="T79" s="1" t="str">
        <f>IFERROR(__xludf.DUMMYFUNCTION("""COMPUTED_VALUE"""),"Shezhen")</f>
        <v>Shezhen</v>
      </c>
      <c r="U79" s="1"/>
      <c r="V79" s="1"/>
      <c r="W79" s="1"/>
      <c r="X79" s="1"/>
      <c r="Y79" s="1"/>
    </row>
    <row r="80" customHeight="1" spans="1:25">
      <c r="A80" s="1" t="str">
        <f>IFERROR(__xludf.DUMMYFUNCTION("""COMPUTED_VALUE"""),"RjGlvSws7u1MFqOG2b7TAV")</f>
        <v>RjGlvSws7u1MFqOG2b7TAV</v>
      </c>
      <c r="B80" s="1">
        <f>IFERROR(__xludf.DUMMYFUNCTION("""COMPUTED_VALUE"""),79)</f>
        <v>79</v>
      </c>
      <c r="C80" s="1" t="str">
        <f>IFERROR(__xludf.DUMMYFUNCTION("""COMPUTED_VALUE"""),"DL79")</f>
        <v>DL79</v>
      </c>
      <c r="D80" s="2">
        <f>IFERROR(__xludf.DUMMYFUNCTION("""COMPUTED_VALUE"""),45191)</f>
        <v>45191</v>
      </c>
      <c r="E80" s="1" t="str">
        <f>IFERROR(__xludf.DUMMYFUNCTION("""COMPUTED_VALUE"""),"Msimeki Mabuza")</f>
        <v>Msimeki Mabuza</v>
      </c>
      <c r="F80" s="1" t="str">
        <f>IFERROR(__xludf.DUMMYFUNCTION("""COMPUTED_VALUE"""),"160")</f>
        <v>160</v>
      </c>
      <c r="G80" s="1" t="str">
        <f>IFERROR(__xludf.DUMMYFUNCTION("""COMPUTED_VALUE"""),"Fiber Cables")</f>
        <v>Fiber Cables</v>
      </c>
      <c r="H80" s="1">
        <f>IFERROR(__xludf.DUMMYFUNCTION("""COMPUTED_VALUE"""),1)</f>
        <v>1</v>
      </c>
      <c r="I80" s="1"/>
      <c r="J80" s="1">
        <f>IFERROR(__xludf.DUMMYFUNCTION("""COMPUTED_VALUE"""),4.3)</f>
        <v>4.3</v>
      </c>
      <c r="K80" s="1">
        <f>IFERROR(__xludf.DUMMYFUNCTION("""COMPUTED_VALUE"""),3000)</f>
        <v>3000</v>
      </c>
      <c r="L80" s="1" t="str">
        <f>IFERROR(__xludf.DUMMYFUNCTION("""COMPUTED_VALUE"""),"Yes")</f>
        <v>Yes</v>
      </c>
      <c r="M80" s="1" t="str">
        <f>IFERROR(__xludf.DUMMYFUNCTION("""COMPUTED_VALUE"""),"Yes")</f>
        <v>Yes</v>
      </c>
      <c r="N80" s="1" t="str">
        <f>IFERROR(__xludf.DUMMYFUNCTION("""COMPUTED_VALUE"""),"CHINA")</f>
        <v>CHINA</v>
      </c>
      <c r="O80" s="1" t="str">
        <f>IFERROR(__xludf.DUMMYFUNCTION("""COMPUTED_VALUE"""),"Hunan")</f>
        <v>Hunan</v>
      </c>
      <c r="P80" s="1" t="str">
        <f>IFERROR(__xludf.DUMMYFUNCTION("""COMPUTED_VALUE"""),"South Africa")</f>
        <v>South Africa</v>
      </c>
      <c r="Q80" s="1" t="str">
        <f>IFERROR(__xludf.DUMMYFUNCTION("""COMPUTED_VALUE"""),"Braamfontein")</f>
        <v>Braamfontein</v>
      </c>
      <c r="R80" s="1" t="str">
        <f>IFERROR(__xludf.DUMMYFUNCTION("""COMPUTED_VALUE"""),"Sea")</f>
        <v>Sea</v>
      </c>
      <c r="S80" s="1" t="str">
        <f>IFERROR(__xludf.DUMMYFUNCTION("""COMPUTED_VALUE"""),"EXW")</f>
        <v>EXW</v>
      </c>
      <c r="T80" s="1" t="str">
        <f>IFERROR(__xludf.DUMMYFUNCTION("""COMPUTED_VALUE"""),"SHENZHEN NIMBUS SHIPPING CO.,LTD")</f>
        <v>SHENZHEN NIMBUS SHIPPING CO.,LTD</v>
      </c>
      <c r="U80" s="1" t="str">
        <f>IFERROR(__xludf.DUMMYFUNCTION("""COMPUTED_VALUE"""),"RM416,V VALLEY CITY SHANHAI,NO.1 YONGXIANG ROAD,BANTIAN STREET,LONGGANG DISTRICT,SHENZHEN,CHINA.")</f>
        <v>RM416,V VALLEY CITY SHANHAI,NO.1 YONGXIANG ROAD,BANTIAN STREET,LONGGANG DISTRICT,SHENZHEN,CHINA.</v>
      </c>
      <c r="V80" s="1" t="str">
        <f>IFERROR(__xludf.DUMMYFUNCTION("""COMPUTED_VALUE"""),"aya.long@nbs-shipping.com")</f>
        <v>aya.long@nbs-shipping.com</v>
      </c>
      <c r="W80" s="1" t="str">
        <f>IFERROR(__xludf.DUMMYFUNCTION("""COMPUTED_VALUE"""),"008675589699684")</f>
        <v>008675589699684</v>
      </c>
      <c r="X80" s="1"/>
      <c r="Y80" s="1"/>
    </row>
    <row r="81" customHeight="1" spans="1:25">
      <c r="A81" s="1" t="str">
        <f>IFERROR(__xludf.DUMMYFUNCTION("""COMPUTED_VALUE"""),"Psp9MeyH9mjv0JChbIMngs")</f>
        <v>Psp9MeyH9mjv0JChbIMngs</v>
      </c>
      <c r="B81" s="1">
        <f>IFERROR(__xludf.DUMMYFUNCTION("""COMPUTED_VALUE"""),80)</f>
        <v>80</v>
      </c>
      <c r="C81" s="1" t="str">
        <f>IFERROR(__xludf.DUMMYFUNCTION("""COMPUTED_VALUE"""),"DL80")</f>
        <v>DL80</v>
      </c>
      <c r="D81" s="2">
        <f>IFERROR(__xludf.DUMMYFUNCTION("""COMPUTED_VALUE"""),45239)</f>
        <v>45239</v>
      </c>
      <c r="E81" s="1" t="str">
        <f>IFERROR(__xludf.DUMMYFUNCTION("""COMPUTED_VALUE"""),"BO3 MEDICAL PRODUCTS PTY LTD")</f>
        <v>BO3 MEDICAL PRODUCTS PTY LTD</v>
      </c>
      <c r="F81" s="1">
        <f>IFERROR(__xludf.DUMMYFUNCTION("""COMPUTED_VALUE"""),323)</f>
        <v>323</v>
      </c>
      <c r="G81" s="1" t="str">
        <f>IFERROR(__xludf.DUMMYFUNCTION("""COMPUTED_VALUE"""),"DH-YMOO1 HIGH SPEED  AUTOMATIC BOUFFANT CAP MAKING MACHINE")</f>
        <v>DH-YMOO1 HIGH SPEED  AUTOMATIC BOUFFANT CAP MAKING MACHINE</v>
      </c>
      <c r="H81" s="1">
        <f>IFERROR(__xludf.DUMMYFUNCTION("""COMPUTED_VALUE"""),2)</f>
        <v>2</v>
      </c>
      <c r="I81" s="1"/>
      <c r="J81" s="1">
        <f>IFERROR(__xludf.DUMMYFUNCTION("""COMPUTED_VALUE"""),12.12)</f>
        <v>12.12</v>
      </c>
      <c r="K81" s="1">
        <f>IFERROR(__xludf.DUMMYFUNCTION("""COMPUTED_VALUE"""),2000)</f>
        <v>2000</v>
      </c>
      <c r="L81" s="1"/>
      <c r="M81" s="1"/>
      <c r="N81" s="1"/>
      <c r="O81" s="1"/>
      <c r="P81" s="1"/>
      <c r="Q81" s="1"/>
      <c r="R81" s="1" t="str">
        <f>IFERROR(__xludf.DUMMYFUNCTION("""COMPUTED_VALUE"""),"Sea")</f>
        <v>Sea</v>
      </c>
      <c r="S81" s="1" t="str">
        <f>IFERROR(__xludf.DUMMYFUNCTION("""COMPUTED_VALUE"""),"FOB")</f>
        <v>FOB</v>
      </c>
      <c r="T81" s="1"/>
      <c r="U81" s="1"/>
      <c r="V81" s="1"/>
      <c r="W81" s="1"/>
      <c r="X81" s="1"/>
      <c r="Y81" s="1"/>
    </row>
    <row r="82" customHeight="1" spans="1:25">
      <c r="A82" s="1" t="str">
        <f>IFERROR(__xludf.DUMMYFUNCTION("""COMPUTED_VALUE"""),"4sWoAlEBkWJwui6Zg7dePp")</f>
        <v>4sWoAlEBkWJwui6Zg7dePp</v>
      </c>
      <c r="B82" s="1">
        <f>IFERROR(__xludf.DUMMYFUNCTION("""COMPUTED_VALUE"""),81)</f>
        <v>81</v>
      </c>
      <c r="C82" s="1" t="str">
        <f>IFERROR(__xludf.DUMMYFUNCTION("""COMPUTED_VALUE"""),"DL81")</f>
        <v>DL81</v>
      </c>
      <c r="D82" s="2">
        <f>IFERROR(__xludf.DUMMYFUNCTION("""COMPUTED_VALUE"""),45238)</f>
        <v>45238</v>
      </c>
      <c r="E82" s="1" t="str">
        <f>IFERROR(__xludf.DUMMYFUNCTION("""COMPUTED_VALUE"""),"BO3 MEDICAL PRODUCTS PTY LTD")</f>
        <v>BO3 MEDICAL PRODUCTS PTY LTD</v>
      </c>
      <c r="F82" s="1">
        <f>IFERROR(__xludf.DUMMYFUNCTION("""COMPUTED_VALUE"""),323)</f>
        <v>323</v>
      </c>
      <c r="G82" s="1" t="str">
        <f>IFERROR(__xludf.DUMMYFUNCTION("""COMPUTED_VALUE"""),"AIR BUBBLE WASHING MACHINE")</f>
        <v>AIR BUBBLE WASHING MACHINE</v>
      </c>
      <c r="H82" s="1">
        <f>IFERROR(__xludf.DUMMYFUNCTION("""COMPUTED_VALUE"""),1)</f>
        <v>1</v>
      </c>
      <c r="I82" s="1"/>
      <c r="J82" s="1"/>
      <c r="K82" s="1">
        <f>IFERROR(__xludf.DUMMYFUNCTION("""COMPUTED_VALUE"""),37000)</f>
        <v>37000</v>
      </c>
      <c r="L82" s="1"/>
      <c r="M82" s="1"/>
      <c r="N82" s="1"/>
      <c r="O82" s="1"/>
      <c r="P82" s="1"/>
      <c r="Q82" s="1"/>
      <c r="R82" s="1" t="str">
        <f>IFERROR(__xludf.DUMMYFUNCTION("""COMPUTED_VALUE"""),"Sea")</f>
        <v>Sea</v>
      </c>
      <c r="S82" s="1" t="str">
        <f>IFERROR(__xludf.DUMMYFUNCTION("""COMPUTED_VALUE"""),"FOB")</f>
        <v>FOB</v>
      </c>
      <c r="T82" s="1"/>
      <c r="U82" s="1"/>
      <c r="V82" s="1"/>
      <c r="W82" s="1"/>
      <c r="X82" s="1"/>
      <c r="Y82" s="1"/>
    </row>
    <row r="83" customHeight="1" spans="1:25">
      <c r="A83" s="1" t="str">
        <f>IFERROR(__xludf.DUMMYFUNCTION("""COMPUTED_VALUE"""),"aYG5GVDxs3kUzYN9QYxRLi")</f>
        <v>aYG5GVDxs3kUzYN9QYxRLi</v>
      </c>
      <c r="B83" s="1">
        <f>IFERROR(__xludf.DUMMYFUNCTION("""COMPUTED_VALUE"""),82)</f>
        <v>82</v>
      </c>
      <c r="C83" s="1" t="str">
        <f>IFERROR(__xludf.DUMMYFUNCTION("""COMPUTED_VALUE"""),"DL82")</f>
        <v>DL82</v>
      </c>
      <c r="D83" s="2">
        <f>IFERROR(__xludf.DUMMYFUNCTION("""COMPUTED_VALUE"""),45238)</f>
        <v>45238</v>
      </c>
      <c r="E83" s="1" t="str">
        <f>IFERROR(__xludf.DUMMYFUNCTION("""COMPUTED_VALUE"""),"BO3 MEDICAL PRODUCTS PTY LTD")</f>
        <v>BO3 MEDICAL PRODUCTS PTY LTD</v>
      </c>
      <c r="F83" s="1">
        <f>IFERROR(__xludf.DUMMYFUNCTION("""COMPUTED_VALUE"""),323)</f>
        <v>323</v>
      </c>
      <c r="G83" s="1" t="str">
        <f>IFERROR(__xludf.DUMMYFUNCTION("""COMPUTED_VALUE"""),"MEDICAL PLANTS")</f>
        <v>MEDICAL PLANTS</v>
      </c>
      <c r="H83" s="1">
        <f>IFERROR(__xludf.DUMMYFUNCTION("""COMPUTED_VALUE"""),266)</f>
        <v>266</v>
      </c>
      <c r="I83" s="1"/>
      <c r="J83" s="1">
        <f>IFERROR(__xludf.DUMMYFUNCTION("""COMPUTED_VALUE"""),24.6)</f>
        <v>24.6</v>
      </c>
      <c r="K83" s="1">
        <f>IFERROR(__xludf.DUMMYFUNCTION("""COMPUTED_VALUE"""),3800)</f>
        <v>3800</v>
      </c>
      <c r="L83" s="1"/>
      <c r="M83" s="1"/>
      <c r="N83" s="1"/>
      <c r="O83" s="1"/>
      <c r="P83" s="1"/>
      <c r="Q83" s="1"/>
      <c r="R83" s="1" t="str">
        <f>IFERROR(__xludf.DUMMYFUNCTION("""COMPUTED_VALUE"""),"Sea")</f>
        <v>Sea</v>
      </c>
      <c r="S83" s="1" t="str">
        <f>IFERROR(__xludf.DUMMYFUNCTION("""COMPUTED_VALUE"""),"FOB")</f>
        <v>FOB</v>
      </c>
      <c r="T83" s="1"/>
      <c r="U83" s="1"/>
      <c r="V83" s="1"/>
      <c r="W83" s="1"/>
      <c r="X83" s="1"/>
      <c r="Y83" s="1"/>
    </row>
    <row r="84" customHeight="1" spans="1:25">
      <c r="A84" s="1" t="str">
        <f>IFERROR(__xludf.DUMMYFUNCTION("""COMPUTED_VALUE"""),"hhL4afn5VNyueRLC9h9z4k")</f>
        <v>hhL4afn5VNyueRLC9h9z4k</v>
      </c>
      <c r="B84" s="1">
        <f>IFERROR(__xludf.DUMMYFUNCTION("""COMPUTED_VALUE"""),83)</f>
        <v>83</v>
      </c>
      <c r="C84" s="1" t="str">
        <f>IFERROR(__xludf.DUMMYFUNCTION("""COMPUTED_VALUE"""),"DL83")</f>
        <v>DL83</v>
      </c>
      <c r="D84" s="2">
        <f>IFERROR(__xludf.DUMMYFUNCTION("""COMPUTED_VALUE"""),45238)</f>
        <v>45238</v>
      </c>
      <c r="E84" s="1" t="str">
        <f>IFERROR(__xludf.DUMMYFUNCTION("""COMPUTED_VALUE"""),"BO3 MEDICAL PRODUCTS PTY LTD")</f>
        <v>BO3 MEDICAL PRODUCTS PTY LTD</v>
      </c>
      <c r="F84" s="1">
        <f>IFERROR(__xludf.DUMMYFUNCTION("""COMPUTED_VALUE"""),323)</f>
        <v>323</v>
      </c>
      <c r="G84" s="1" t="str">
        <f>IFERROR(__xludf.DUMMYFUNCTION("""COMPUTED_VALUE"""),"MEDICAL PLANTS")</f>
        <v>MEDICAL PLANTS</v>
      </c>
      <c r="H84" s="1"/>
      <c r="I84" s="1"/>
      <c r="J84" s="1">
        <f>IFERROR(__xludf.DUMMYFUNCTION("""COMPUTED_VALUE"""),1.07)</f>
        <v>1.07</v>
      </c>
      <c r="K84" s="1">
        <f>IFERROR(__xludf.DUMMYFUNCTION("""COMPUTED_VALUE"""),1000)</f>
        <v>1000</v>
      </c>
      <c r="L84" s="1"/>
      <c r="M84" s="1"/>
      <c r="N84" s="1"/>
      <c r="O84" s="1"/>
      <c r="P84" s="1"/>
      <c r="Q84" s="1"/>
      <c r="R84" s="1" t="str">
        <f>IFERROR(__xludf.DUMMYFUNCTION("""COMPUTED_VALUE"""),"Air")</f>
        <v>Air</v>
      </c>
      <c r="S84" s="1" t="str">
        <f>IFERROR(__xludf.DUMMYFUNCTION("""COMPUTED_VALUE"""),"FOB")</f>
        <v>FOB</v>
      </c>
      <c r="T84" s="1"/>
      <c r="U84" s="1"/>
      <c r="V84" s="1"/>
      <c r="W84" s="1"/>
      <c r="X84" s="1"/>
      <c r="Y84" s="1"/>
    </row>
    <row r="85" customHeight="1" spans="1:25">
      <c r="A85" s="1" t="str">
        <f>IFERROR(__xludf.DUMMYFUNCTION("""COMPUTED_VALUE"""),"4njLmahfStkSb51zNZEjyP")</f>
        <v>4njLmahfStkSb51zNZEjyP</v>
      </c>
      <c r="B85" s="1">
        <f>IFERROR(__xludf.DUMMYFUNCTION("""COMPUTED_VALUE"""),84)</f>
        <v>84</v>
      </c>
      <c r="C85" s="1" t="str">
        <f>IFERROR(__xludf.DUMMYFUNCTION("""COMPUTED_VALUE"""),"DL84")</f>
        <v>DL84</v>
      </c>
      <c r="D85" s="2">
        <f>IFERROR(__xludf.DUMMYFUNCTION("""COMPUTED_VALUE"""),45238)</f>
        <v>45238</v>
      </c>
      <c r="E85" s="1" t="str">
        <f>IFERROR(__xludf.DUMMYFUNCTION("""COMPUTED_VALUE"""),"BO3 MEDICAL PRODUCTS PTY LTD")</f>
        <v>BO3 MEDICAL PRODUCTS PTY LTD</v>
      </c>
      <c r="F85" s="1">
        <f>IFERROR(__xludf.DUMMYFUNCTION("""COMPUTED_VALUE"""),323)</f>
        <v>323</v>
      </c>
      <c r="G85" s="1" t="str">
        <f>IFERROR(__xludf.DUMMYFUNCTION("""COMPUTED_VALUE"""),"3 P HEAT PUMP DRYER ,DRYING TROLLEY,DRYING TRAY,FRUIT AND VEGETABLE GRINDING MACHINE")</f>
        <v>3 P HEAT PUMP DRYER ,DRYING TROLLEY,DRYING TRAY,FRUIT AND VEGETABLE GRINDING MACHINE</v>
      </c>
      <c r="H85" s="1"/>
      <c r="I85" s="1"/>
      <c r="J85" s="1"/>
      <c r="K85" s="1">
        <f>IFERROR(__xludf.DUMMYFUNCTION("""COMPUTED_VALUE"""),37000)</f>
        <v>37000</v>
      </c>
      <c r="L85" s="1"/>
      <c r="M85" s="1"/>
      <c r="N85" s="1"/>
      <c r="O85" s="1"/>
      <c r="P85" s="1"/>
      <c r="Q85" s="1"/>
      <c r="R85" s="1" t="str">
        <f>IFERROR(__xludf.DUMMYFUNCTION("""COMPUTED_VALUE"""),"Sea")</f>
        <v>Sea</v>
      </c>
      <c r="S85" s="1" t="str">
        <f>IFERROR(__xludf.DUMMYFUNCTION("""COMPUTED_VALUE"""),"FOB")</f>
        <v>FOB</v>
      </c>
      <c r="T85" s="1"/>
      <c r="U85" s="1"/>
      <c r="V85" s="1"/>
      <c r="W85" s="1"/>
      <c r="X85" s="1"/>
      <c r="Y85" s="1"/>
    </row>
    <row r="86" customHeight="1" spans="1:25">
      <c r="A86" s="1" t="str">
        <f>IFERROR(__xludf.DUMMYFUNCTION("""COMPUTED_VALUE"""),"goJpPeul1Dn0CojUYhK2DW")</f>
        <v>goJpPeul1Dn0CojUYhK2DW</v>
      </c>
      <c r="B86" s="1">
        <f>IFERROR(__xludf.DUMMYFUNCTION("""COMPUTED_VALUE"""),85)</f>
        <v>85</v>
      </c>
      <c r="C86" s="1" t="str">
        <f>IFERROR(__xludf.DUMMYFUNCTION("""COMPUTED_VALUE"""),"DL85")</f>
        <v>DL85</v>
      </c>
      <c r="D86" s="2">
        <f>IFERROR(__xludf.DUMMYFUNCTION("""COMPUTED_VALUE"""),45253)</f>
        <v>45253</v>
      </c>
      <c r="E86" s="1" t="str">
        <f>IFERROR(__xludf.DUMMYFUNCTION("""COMPUTED_VALUE"""),"KONE AND JC")</f>
        <v>KONE AND JC</v>
      </c>
      <c r="F86" s="1">
        <f>IFERROR(__xludf.DUMMYFUNCTION("""COMPUTED_VALUE"""),121)</f>
        <v>121</v>
      </c>
      <c r="G86" s="1" t="str">
        <f>IFERROR(__xludf.DUMMYFUNCTION("""COMPUTED_VALUE"""),"First Aid kits")</f>
        <v>First Aid kits</v>
      </c>
      <c r="H86" s="1">
        <f>IFERROR(__xludf.DUMMYFUNCTION("""COMPUTED_VALUE"""),1)</f>
        <v>1</v>
      </c>
      <c r="I86" s="1"/>
      <c r="J86" s="1"/>
      <c r="K86" s="1">
        <f>IFERROR(__xludf.DUMMYFUNCTION("""COMPUTED_VALUE"""),13)</f>
        <v>13</v>
      </c>
      <c r="L86" s="1" t="str">
        <f>IFERROR(__xludf.DUMMYFUNCTION("""COMPUTED_VALUE"""),"Yes")</f>
        <v>Yes</v>
      </c>
      <c r="M86" s="1" t="str">
        <f>IFERROR(__xludf.DUMMYFUNCTION("""COMPUTED_VALUE"""),"Yes")</f>
        <v>Yes</v>
      </c>
      <c r="N86" s="1" t="str">
        <f>IFERROR(__xludf.DUMMYFUNCTION("""COMPUTED_VALUE"""),"South Africa")</f>
        <v>South Africa</v>
      </c>
      <c r="O86" s="1" t="str">
        <f>IFERROR(__xludf.DUMMYFUNCTION("""COMPUTED_VALUE"""),"Johannesburg")</f>
        <v>Johannesburg</v>
      </c>
      <c r="P86" s="1" t="str">
        <f>IFERROR(__xludf.DUMMYFUNCTION("""COMPUTED_VALUE"""),"Angola")</f>
        <v>Angola</v>
      </c>
      <c r="Q86" s="1" t="str">
        <f>IFERROR(__xludf.DUMMYFUNCTION("""COMPUTED_VALUE"""),"Luanda")</f>
        <v>Luanda</v>
      </c>
      <c r="R86" s="1" t="str">
        <f>IFERROR(__xludf.DUMMYFUNCTION("""COMPUTED_VALUE"""),"Air")</f>
        <v>Air</v>
      </c>
      <c r="S86" s="1" t="str">
        <f>IFERROR(__xludf.DUMMYFUNCTION("""COMPUTED_VALUE"""),"FCA")</f>
        <v>FCA</v>
      </c>
      <c r="T86" s="1" t="str">
        <f>IFERROR(__xludf.DUMMYFUNCTION("""COMPUTED_VALUE"""),"Asia Direct")</f>
        <v>Asia Direct</v>
      </c>
      <c r="U86" s="1" t="str">
        <f>IFERROR(__xludf.DUMMYFUNCTION("""COMPUTED_VALUE"""),"4, 2 Anemoon Rd, Glen marais, Kempton Park, 1619, South Africa")</f>
        <v>4, 2 Anemoon Rd, Glen marais, Kempton Park, 1619, South Africa</v>
      </c>
      <c r="V86" s="1" t="str">
        <f>IFERROR(__xludf.DUMMYFUNCTION("""COMPUTED_VALUE"""),"support@asiadirect.africa")</f>
        <v>support@asiadirect.africa</v>
      </c>
      <c r="W86" s="1" t="str">
        <f>IFERROR(__xludf.DUMMYFUNCTION("""COMPUTED_VALUE"""),"010448733")</f>
        <v>010448733</v>
      </c>
      <c r="X86" s="1"/>
      <c r="Y86" s="1"/>
    </row>
    <row r="87" customHeight="1" spans="1:25">
      <c r="A87" s="1" t="str">
        <f>IFERROR(__xludf.DUMMYFUNCTION("""COMPUTED_VALUE"""),"zNWD5LLZw7AgH7nSbR16E8")</f>
        <v>zNWD5LLZw7AgH7nSbR16E8</v>
      </c>
      <c r="B87" s="1">
        <f>IFERROR(__xludf.DUMMYFUNCTION("""COMPUTED_VALUE"""),86)</f>
        <v>86</v>
      </c>
      <c r="C87" s="1" t="str">
        <f>IFERROR(__xludf.DUMMYFUNCTION("""COMPUTED_VALUE"""),"DL86")</f>
        <v>DL86</v>
      </c>
      <c r="D87" s="2">
        <f>IFERROR(__xludf.DUMMYFUNCTION("""COMPUTED_VALUE"""),45260)</f>
        <v>45260</v>
      </c>
      <c r="E87" s="1" t="str">
        <f>IFERROR(__xludf.DUMMYFUNCTION("""COMPUTED_VALUE"""),"UNZA SCHOOL OF HEALTH SCIENCES")</f>
        <v>UNZA SCHOOL OF HEALTH SCIENCES</v>
      </c>
      <c r="F87" s="1">
        <f>IFERROR(__xludf.DUMMYFUNCTION("""COMPUTED_VALUE"""),362)</f>
        <v>362</v>
      </c>
      <c r="G87" s="1"/>
      <c r="H87" s="1">
        <f>IFERROR(__xludf.DUMMYFUNCTION("""COMPUTED_VALUE"""),10)</f>
        <v>10</v>
      </c>
      <c r="I87" s="1"/>
      <c r="J87" s="1">
        <f>IFERROR(__xludf.DUMMYFUNCTION("""COMPUTED_VALUE"""),0)</f>
        <v>0</v>
      </c>
      <c r="K87" s="1"/>
      <c r="L87" s="1" t="str">
        <f>IFERROR(__xludf.DUMMYFUNCTION("""COMPUTED_VALUE"""),"Yes")</f>
        <v>Yes</v>
      </c>
      <c r="M87" s="1"/>
      <c r="N87" s="1" t="str">
        <f>IFERROR(__xludf.DUMMYFUNCTION("""COMPUTED_VALUE"""),"South Africa")</f>
        <v>South Africa</v>
      </c>
      <c r="O87" s="1" t="str">
        <f>IFERROR(__xludf.DUMMYFUNCTION("""COMPUTED_VALUE"""),"Unit 4,490 BAROLONG STR,ICONIC BUSINESS PARK,SUNDERLAND RIDGE 0157")</f>
        <v>Unit 4,490 BAROLONG STR,ICONIC BUSINESS PARK,SUNDERLAND RIDGE 0157</v>
      </c>
      <c r="P87" s="1" t="str">
        <f>IFERROR(__xludf.DUMMYFUNCTION("""COMPUTED_VALUE"""),"Zambia")</f>
        <v>Zambia</v>
      </c>
      <c r="Q87" s="1" t="str">
        <f>IFERROR(__xludf.DUMMYFUNCTION("""COMPUTED_VALUE"""),"Lusaka")</f>
        <v>Lusaka</v>
      </c>
      <c r="R87" s="1" t="str">
        <f>IFERROR(__xludf.DUMMYFUNCTION("""COMPUTED_VALUE"""),"Road")</f>
        <v>Road</v>
      </c>
      <c r="S87" s="1" t="str">
        <f>IFERROR(__xludf.DUMMYFUNCTION("""COMPUTED_VALUE"""),"EXW")</f>
        <v>EXW</v>
      </c>
      <c r="T87" s="1" t="str">
        <f>IFERROR(__xludf.DUMMYFUNCTION("""COMPUTED_VALUE"""),"Bioclin Solutions")</f>
        <v>Bioclin Solutions</v>
      </c>
      <c r="U87" s="1" t="str">
        <f>IFERROR(__xludf.DUMMYFUNCTION("""COMPUTED_VALUE"""),"sales@bioclin.co.za")</f>
        <v>sales@bioclin.co.za</v>
      </c>
      <c r="V87" s="1"/>
      <c r="W87" s="1" t="str">
        <f>IFERROR(__xludf.DUMMYFUNCTION("""COMPUTED_VALUE"""),"0027 12 326 7771")</f>
        <v>0027 12 326 7771</v>
      </c>
      <c r="X87" s="1"/>
      <c r="Y87" s="1"/>
    </row>
    <row r="88" customHeight="1" spans="1:25">
      <c r="A88" s="1" t="str">
        <f>IFERROR(__xludf.DUMMYFUNCTION("""COMPUTED_VALUE"""),"EIliB7htJBDaktrLUadihf")</f>
        <v>EIliB7htJBDaktrLUadihf</v>
      </c>
      <c r="B88" s="1">
        <f>IFERROR(__xludf.DUMMYFUNCTION("""COMPUTED_VALUE"""),87)</f>
        <v>87</v>
      </c>
      <c r="C88" s="1" t="str">
        <f>IFERROR(__xludf.DUMMYFUNCTION("""COMPUTED_VALUE"""),"DL87")</f>
        <v>DL87</v>
      </c>
      <c r="D88" s="2">
        <f>IFERROR(__xludf.DUMMYFUNCTION("""COMPUTED_VALUE"""),45258)</f>
        <v>45258</v>
      </c>
      <c r="E88" s="1" t="str">
        <f>IFERROR(__xludf.DUMMYFUNCTION("""COMPUTED_VALUE"""),"Mohale Pilusa")</f>
        <v>Mohale Pilusa</v>
      </c>
      <c r="F88" s="1">
        <f>IFERROR(__xludf.DUMMYFUNCTION("""COMPUTED_VALUE"""),361)</f>
        <v>361</v>
      </c>
      <c r="G88" s="1" t="str">
        <f>IFERROR(__xludf.DUMMYFUNCTION("""COMPUTED_VALUE"""),"2L SILICONE ENEMA BAG SET AND 2L RUBBER ENEMA BAG SET")</f>
        <v>2L SILICONE ENEMA BAG SET AND 2L RUBBER ENEMA BAG SET</v>
      </c>
      <c r="H88" s="1">
        <f>IFERROR(__xludf.DUMMYFUNCTION("""COMPUTED_VALUE"""),5)</f>
        <v>5</v>
      </c>
      <c r="I88" s="1"/>
      <c r="J88" s="1">
        <f>IFERROR(__xludf.DUMMYFUNCTION("""COMPUTED_VALUE"""),0.2)</f>
        <v>0.2</v>
      </c>
      <c r="K88" s="1">
        <f>IFERROR(__xludf.DUMMYFUNCTION("""COMPUTED_VALUE"""),52)</f>
        <v>52</v>
      </c>
      <c r="L88" s="1" t="str">
        <f>IFERROR(__xludf.DUMMYFUNCTION("""COMPUTED_VALUE"""),"Yes")</f>
        <v>Yes</v>
      </c>
      <c r="M88" s="1" t="str">
        <f>IFERROR(__xludf.DUMMYFUNCTION("""COMPUTED_VALUE"""),"Yes")</f>
        <v>Yes</v>
      </c>
      <c r="N88" s="1" t="str">
        <f>IFERROR(__xludf.DUMMYFUNCTION("""COMPUTED_VALUE"""),"CHINA")</f>
        <v>CHINA</v>
      </c>
      <c r="O88" s="1" t="str">
        <f>IFERROR(__xludf.DUMMYFUNCTION("""COMPUTED_VALUE"""),"Qingdao")</f>
        <v>Qingdao</v>
      </c>
      <c r="P88" s="1" t="str">
        <f>IFERROR(__xludf.DUMMYFUNCTION("""COMPUTED_VALUE"""),"SOUTH AFRICA")</f>
        <v>SOUTH AFRICA</v>
      </c>
      <c r="Q88" s="1" t="str">
        <f>IFERROR(__xludf.DUMMYFUNCTION("""COMPUTED_VALUE"""),"SANDTON")</f>
        <v>SANDTON</v>
      </c>
      <c r="R88" s="1" t="str">
        <f>IFERROR(__xludf.DUMMYFUNCTION("""COMPUTED_VALUE"""),"Air")</f>
        <v>Air</v>
      </c>
      <c r="S88" s="1" t="str">
        <f>IFERROR(__xludf.DUMMYFUNCTION("""COMPUTED_VALUE"""),"FCA")</f>
        <v>FCA</v>
      </c>
      <c r="T88" s="1" t="str">
        <f>IFERROR(__xludf.DUMMYFUNCTION("""COMPUTED_VALUE"""),"OBD LOGISTICS CO., LIMITED")</f>
        <v>OBD LOGISTICS CO., LIMITED</v>
      </c>
      <c r="U88" s="1" t="str">
        <f>IFERROR(__xludf.DUMMYFUNCTION("""COMPUTED_VALUE"""),"Building 2, No. 6, Xinxing Yiheng Road, Baisha, Humen Town, Dongguan，Guangdong")</f>
        <v>Building 2, No. 6, Xinxing Yiheng Road, Baisha, Humen Town, Dongguan，Guangdong</v>
      </c>
      <c r="V88" s="1" t="str">
        <f>IFERROR(__xludf.DUMMYFUNCTION("""COMPUTED_VALUE"""),"obdsales6@obdlogistics.com")</f>
        <v>obdsales6@obdlogistics.com</v>
      </c>
      <c r="W88" s="1" t="str">
        <f>IFERROR(__xludf.DUMMYFUNCTION("""COMPUTED_VALUE"""),"+852 9177 9798")</f>
        <v>+852 9177 9798</v>
      </c>
      <c r="X88" s="1"/>
      <c r="Y88" s="1"/>
    </row>
    <row r="89" customHeight="1" spans="1:25">
      <c r="A89" s="1" t="str">
        <f>IFERROR(__xludf.DUMMYFUNCTION("""COMPUTED_VALUE"""),"J4GDxl1C6Z9rkKmpoGm7vq")</f>
        <v>J4GDxl1C6Z9rkKmpoGm7vq</v>
      </c>
      <c r="B89" s="1">
        <f>IFERROR(__xludf.DUMMYFUNCTION("""COMPUTED_VALUE"""),88)</f>
        <v>88</v>
      </c>
      <c r="C89" s="1" t="str">
        <f>IFERROR(__xludf.DUMMYFUNCTION("""COMPUTED_VALUE"""),"DL88")</f>
        <v>DL88</v>
      </c>
      <c r="D89" s="2">
        <f>IFERROR(__xludf.DUMMYFUNCTION("""COMPUTED_VALUE"""),45267)</f>
        <v>45267</v>
      </c>
      <c r="E89" s="1" t="str">
        <f>IFERROR(__xludf.DUMMYFUNCTION("""COMPUTED_VALUE"""),"VYKON (PTY) LTD")</f>
        <v>VYKON (PTY) LTD</v>
      </c>
      <c r="F89" s="1">
        <f>IFERROR(__xludf.DUMMYFUNCTION("""COMPUTED_VALUE"""),36)</f>
        <v>36</v>
      </c>
      <c r="G89" s="1" t="str">
        <f>IFERROR(__xludf.DUMMYFUNCTION("""COMPUTED_VALUE"""),"Steel Tubes")</f>
        <v>Steel Tubes</v>
      </c>
      <c r="H89" s="1">
        <f>IFERROR(__xludf.DUMMYFUNCTION("""COMPUTED_VALUE"""),2)</f>
        <v>2</v>
      </c>
      <c r="I89" s="1"/>
      <c r="J89" s="1">
        <f>IFERROR(__xludf.DUMMYFUNCTION("""COMPUTED_VALUE"""),0.5)</f>
        <v>0.5</v>
      </c>
      <c r="K89" s="1">
        <f>IFERROR(__xludf.DUMMYFUNCTION("""COMPUTED_VALUE"""),200)</f>
        <v>200</v>
      </c>
      <c r="L89" s="1" t="str">
        <f>IFERROR(__xludf.DUMMYFUNCTION("""COMPUTED_VALUE"""),"Yes")</f>
        <v>Yes</v>
      </c>
      <c r="M89" s="1" t="str">
        <f>IFERROR(__xludf.DUMMYFUNCTION("""COMPUTED_VALUE"""),"Yes")</f>
        <v>Yes</v>
      </c>
      <c r="N89" s="1" t="str">
        <f>IFERROR(__xludf.DUMMYFUNCTION("""COMPUTED_VALUE"""),"China")</f>
        <v>China</v>
      </c>
      <c r="O89" s="1" t="str">
        <f>IFERROR(__xludf.DUMMYFUNCTION("""COMPUTED_VALUE"""),"Doungyang, Guangdong")</f>
        <v>Doungyang, Guangdong</v>
      </c>
      <c r="P89" s="1" t="str">
        <f>IFERROR(__xludf.DUMMYFUNCTION("""COMPUTED_VALUE"""),"South Africa")</f>
        <v>South Africa</v>
      </c>
      <c r="Q89" s="1" t="str">
        <f>IFERROR(__xludf.DUMMYFUNCTION("""COMPUTED_VALUE"""),"Centurion")</f>
        <v>Centurion</v>
      </c>
      <c r="R89" s="1" t="str">
        <f>IFERROR(__xludf.DUMMYFUNCTION("""COMPUTED_VALUE"""),"Sea")</f>
        <v>Sea</v>
      </c>
      <c r="S89" s="1" t="str">
        <f>IFERROR(__xludf.DUMMYFUNCTION("""COMPUTED_VALUE"""),"FCA")</f>
        <v>FCA</v>
      </c>
      <c r="T89" s="1" t="str">
        <f>IFERROR(__xludf.DUMMYFUNCTION("""COMPUTED_VALUE"""),"OBD LOGISTICS CO LTD")</f>
        <v>OBD LOGISTICS CO LTD</v>
      </c>
      <c r="U89" s="1" t="str">
        <f>IFERROR(__xludf.DUMMYFUNCTION("""COMPUTED_VALUE"""),"first Floor Building2, No 6,Xinxing Yihen, Baisha Humen town,Dongguang, China")</f>
        <v>first Floor Building2, No 6,Xinxing Yihen, Baisha Humen town,Dongguang, China</v>
      </c>
      <c r="V89" s="1" t="str">
        <f>IFERROR(__xludf.DUMMYFUNCTION("""COMPUTED_VALUE"""),"obdsales6@obdlogistics.com")</f>
        <v>obdsales6@obdlogistics.com</v>
      </c>
      <c r="W89" s="1" t="str">
        <f>IFERROR(__xludf.DUMMYFUNCTION("""COMPUTED_VALUE"""),"+852 9177 9798")</f>
        <v>+852 9177 9798</v>
      </c>
      <c r="X89" s="1"/>
      <c r="Y89" s="1"/>
    </row>
    <row r="90" customHeight="1" spans="1:25">
      <c r="A90" s="1" t="str">
        <f>IFERROR(__xludf.DUMMYFUNCTION("""COMPUTED_VALUE"""),"rh8W43AIi5aJRW3pY7yjTt")</f>
        <v>rh8W43AIi5aJRW3pY7yjTt</v>
      </c>
      <c r="B90" s="1">
        <f>IFERROR(__xludf.DUMMYFUNCTION("""COMPUTED_VALUE"""),89)</f>
        <v>89</v>
      </c>
      <c r="C90" s="1" t="str">
        <f>IFERROR(__xludf.DUMMYFUNCTION("""COMPUTED_VALUE"""),"DL89")</f>
        <v>DL89</v>
      </c>
      <c r="D90" s="2">
        <f>IFERROR(__xludf.DUMMYFUNCTION("""COMPUTED_VALUE"""),45239)</f>
        <v>45239</v>
      </c>
      <c r="E90" s="1" t="str">
        <f>IFERROR(__xludf.DUMMYFUNCTION("""COMPUTED_VALUE"""),"Sithembe Procuments")</f>
        <v>Sithembe Procuments</v>
      </c>
      <c r="F90" s="1">
        <f>IFERROR(__xludf.DUMMYFUNCTION("""COMPUTED_VALUE"""),21086668)</f>
        <v>21086668</v>
      </c>
      <c r="G90" s="1" t="str">
        <f>IFERROR(__xludf.DUMMYFUNCTION("""COMPUTED_VALUE"""),"Reeling Cables")</f>
        <v>Reeling Cables</v>
      </c>
      <c r="H90" s="1">
        <f>IFERROR(__xludf.DUMMYFUNCTION("""COMPUTED_VALUE"""),16)</f>
        <v>16</v>
      </c>
      <c r="I90" s="1"/>
      <c r="J90" s="1">
        <f>IFERROR(__xludf.DUMMYFUNCTION("""COMPUTED_VALUE"""),3.34)</f>
        <v>3.34</v>
      </c>
      <c r="K90" s="1">
        <f>IFERROR(__xludf.DUMMYFUNCTION("""COMPUTED_VALUE"""),557)</f>
        <v>557</v>
      </c>
      <c r="L90" s="1" t="str">
        <f>IFERROR(__xludf.DUMMYFUNCTION("""COMPUTED_VALUE"""),"Yes")</f>
        <v>Yes</v>
      </c>
      <c r="M90" s="1" t="str">
        <f>IFERROR(__xludf.DUMMYFUNCTION("""COMPUTED_VALUE"""),"Yes")</f>
        <v>Yes</v>
      </c>
      <c r="N90" s="1" t="str">
        <f>IFERROR(__xludf.DUMMYFUNCTION("""COMPUTED_VALUE"""),"GERMANY")</f>
        <v>GERMANY</v>
      </c>
      <c r="O90" s="1" t="str">
        <f>IFERROR(__xludf.DUMMYFUNCTION("""COMPUTED_VALUE"""),"LISE MEINER")</f>
        <v>LISE MEINER</v>
      </c>
      <c r="P90" s="1" t="str">
        <f>IFERROR(__xludf.DUMMYFUNCTION("""COMPUTED_VALUE"""),"SOUTH AFRICA")</f>
        <v>SOUTH AFRICA</v>
      </c>
      <c r="Q90" s="1" t="str">
        <f>IFERROR(__xludf.DUMMYFUNCTION("""COMPUTED_VALUE"""),"BOKSBURG")</f>
        <v>BOKSBURG</v>
      </c>
      <c r="R90" s="1" t="str">
        <f>IFERROR(__xludf.DUMMYFUNCTION("""COMPUTED_VALUE"""),"Air")</f>
        <v>Air</v>
      </c>
      <c r="S90" s="1" t="str">
        <f>IFERROR(__xludf.DUMMYFUNCTION("""COMPUTED_VALUE"""),"FOB")</f>
        <v>FOB</v>
      </c>
      <c r="T90" s="1" t="str">
        <f>IFERROR(__xludf.DUMMYFUNCTION("""COMPUTED_VALUE"""),"BAUDE KABEL TECHNIK GMBH")</f>
        <v>BAUDE KABEL TECHNIK GMBH</v>
      </c>
      <c r="U90" s="1" t="str">
        <f>IFERROR(__xludf.DUMMYFUNCTION("""COMPUTED_VALUE"""),"LISE MEINER STR 1")</f>
        <v>LISE MEINER STR 1</v>
      </c>
      <c r="V90" s="1"/>
      <c r="W90" s="1"/>
      <c r="X90" s="1"/>
      <c r="Y90" s="1"/>
    </row>
    <row r="91" customHeight="1" spans="1:25">
      <c r="A91" s="1" t="str">
        <f>IFERROR(__xludf.DUMMYFUNCTION("""COMPUTED_VALUE"""),"hI5ETS3nMRGgxdoYFeoGQK")</f>
        <v>hI5ETS3nMRGgxdoYFeoGQK</v>
      </c>
      <c r="B91" s="1">
        <f>IFERROR(__xludf.DUMMYFUNCTION("""COMPUTED_VALUE"""),90)</f>
        <v>90</v>
      </c>
      <c r="C91" s="1" t="str">
        <f>IFERROR(__xludf.DUMMYFUNCTION("""COMPUTED_VALUE"""),"DL90")</f>
        <v>DL90</v>
      </c>
      <c r="D91" s="2">
        <f>IFERROR(__xludf.DUMMYFUNCTION("""COMPUTED_VALUE"""),45268)</f>
        <v>45268</v>
      </c>
      <c r="E91" s="1" t="str">
        <f>IFERROR(__xludf.DUMMYFUNCTION("""COMPUTED_VALUE"""),"lezahn")</f>
        <v>lezahn</v>
      </c>
      <c r="F91" s="1">
        <f>IFERROR(__xludf.DUMMYFUNCTION("""COMPUTED_VALUE"""),118)</f>
        <v>118</v>
      </c>
      <c r="G91" s="1" t="str">
        <f>IFERROR(__xludf.DUMMYFUNCTION("""COMPUTED_VALUE"""),"Rubber Foam Mats")</f>
        <v>Rubber Foam Mats</v>
      </c>
      <c r="H91" s="1">
        <f>IFERROR(__xludf.DUMMYFUNCTION("""COMPUTED_VALUE"""),4)</f>
        <v>4</v>
      </c>
      <c r="I91" s="1"/>
      <c r="J91" s="1">
        <f>IFERROR(__xludf.DUMMYFUNCTION("""COMPUTED_VALUE"""),0.15)</f>
        <v>0.15</v>
      </c>
      <c r="K91" s="1">
        <f>IFERROR(__xludf.DUMMYFUNCTION("""COMPUTED_VALUE"""),30)</f>
        <v>30</v>
      </c>
      <c r="L91" s="1" t="str">
        <f>IFERROR(__xludf.DUMMYFUNCTION("""COMPUTED_VALUE"""),"Yes")</f>
        <v>Yes</v>
      </c>
      <c r="M91" s="1" t="str">
        <f>IFERROR(__xludf.DUMMYFUNCTION("""COMPUTED_VALUE"""),"Yes")</f>
        <v>Yes</v>
      </c>
      <c r="N91" s="1" t="str">
        <f>IFERROR(__xludf.DUMMYFUNCTION("""COMPUTED_VALUE"""),"China")</f>
        <v>China</v>
      </c>
      <c r="O91" s="1" t="str">
        <f>IFERROR(__xludf.DUMMYFUNCTION("""COMPUTED_VALUE"""),"Guangdong")</f>
        <v>Guangdong</v>
      </c>
      <c r="P91" s="1" t="str">
        <f>IFERROR(__xludf.DUMMYFUNCTION("""COMPUTED_VALUE"""),"South Africa")</f>
        <v>South Africa</v>
      </c>
      <c r="Q91" s="1" t="str">
        <f>IFERROR(__xludf.DUMMYFUNCTION("""COMPUTED_VALUE"""),"Capetown")</f>
        <v>Capetown</v>
      </c>
      <c r="R91" s="1" t="str">
        <f>IFERROR(__xludf.DUMMYFUNCTION("""COMPUTED_VALUE"""),"Air")</f>
        <v>Air</v>
      </c>
      <c r="S91" s="1" t="str">
        <f>IFERROR(__xludf.DUMMYFUNCTION("""COMPUTED_VALUE"""),"EXW")</f>
        <v>EXW</v>
      </c>
      <c r="T91" s="1" t="str">
        <f>IFERROR(__xludf.DUMMYFUNCTION("""COMPUTED_VALUE"""),"OBD LOGISTICS")</f>
        <v>OBD LOGISTICS</v>
      </c>
      <c r="U91" s="1" t="str">
        <f>IFERROR(__xludf.DUMMYFUNCTION("""COMPUTED_VALUE"""),"Building 2, No. 6, Xinxing Yiheng Road, Baisha, Humen Town, Dongguan，Guangdong")</f>
        <v>Building 2, No. 6, Xinxing Yiheng Road, Baisha, Humen Town, Dongguan，Guangdong</v>
      </c>
      <c r="V91" s="1"/>
      <c r="W91" s="1"/>
      <c r="X91" s="1"/>
      <c r="Y91" s="1"/>
    </row>
    <row r="92" customHeight="1" spans="1:25">
      <c r="A92" s="1" t="str">
        <f>IFERROR(__xludf.DUMMYFUNCTION("""COMPUTED_VALUE"""),"1FZV4jTvCA1UVRZEKbyXY3")</f>
        <v>1FZV4jTvCA1UVRZEKbyXY3</v>
      </c>
      <c r="B92" s="1">
        <f>IFERROR(__xludf.DUMMYFUNCTION("""COMPUTED_VALUE"""),91)</f>
        <v>91</v>
      </c>
      <c r="C92" s="1" t="str">
        <f>IFERROR(__xludf.DUMMYFUNCTION("""COMPUTED_VALUE"""),"DL91")</f>
        <v>DL91</v>
      </c>
      <c r="D92" s="2">
        <f>IFERROR(__xludf.DUMMYFUNCTION("""COMPUTED_VALUE"""),45271)</f>
        <v>45271</v>
      </c>
      <c r="E92" s="1" t="str">
        <f>IFERROR(__xludf.DUMMYFUNCTION("""COMPUTED_VALUE"""),"Geleza Tech")</f>
        <v>Geleza Tech</v>
      </c>
      <c r="F92" s="1">
        <f>IFERROR(__xludf.DUMMYFUNCTION("""COMPUTED_VALUE"""),159)</f>
        <v>159</v>
      </c>
      <c r="G92" s="1" t="str">
        <f>IFERROR(__xludf.DUMMYFUNCTION("""COMPUTED_VALUE"""),"Tablets")</f>
        <v>Tablets</v>
      </c>
      <c r="H92" s="1">
        <f>IFERROR(__xludf.DUMMYFUNCTION("""COMPUTED_VALUE"""),10)</f>
        <v>10</v>
      </c>
      <c r="I92" s="1"/>
      <c r="J92" s="1">
        <f>IFERROR(__xludf.DUMMYFUNCTION("""COMPUTED_VALUE"""),0.3)</f>
        <v>0.3</v>
      </c>
      <c r="K92" s="1">
        <f>IFERROR(__xludf.DUMMYFUNCTION("""COMPUTED_VALUE"""),62)</f>
        <v>62</v>
      </c>
      <c r="L92" s="1" t="str">
        <f>IFERROR(__xludf.DUMMYFUNCTION("""COMPUTED_VALUE"""),"Yes")</f>
        <v>Yes</v>
      </c>
      <c r="M92" s="1" t="str">
        <f>IFERROR(__xludf.DUMMYFUNCTION("""COMPUTED_VALUE"""),"Yes")</f>
        <v>Yes</v>
      </c>
      <c r="N92" s="1" t="str">
        <f>IFERROR(__xludf.DUMMYFUNCTION("""COMPUTED_VALUE"""),"China")</f>
        <v>China</v>
      </c>
      <c r="O92" s="1"/>
      <c r="P92" s="1" t="str">
        <f>IFERROR(__xludf.DUMMYFUNCTION("""COMPUTED_VALUE"""),"South Africa")</f>
        <v>South Africa</v>
      </c>
      <c r="Q92" s="1" t="str">
        <f>IFERROR(__xludf.DUMMYFUNCTION("""COMPUTED_VALUE"""),"Johannesburg")</f>
        <v>Johannesburg</v>
      </c>
      <c r="R92" s="1" t="str">
        <f>IFERROR(__xludf.DUMMYFUNCTION("""COMPUTED_VALUE"""),"Air")</f>
        <v>Air</v>
      </c>
      <c r="S92" s="1" t="str">
        <f>IFERROR(__xludf.DUMMYFUNCTION("""COMPUTED_VALUE"""),"FCA")</f>
        <v>FCA</v>
      </c>
      <c r="T92" s="1" t="str">
        <f>IFERROR(__xludf.DUMMYFUNCTION("""COMPUTED_VALUE"""),"OBD LOGISTICS")</f>
        <v>OBD LOGISTICS</v>
      </c>
      <c r="U92" s="1" t="str">
        <f>IFERROR(__xludf.DUMMYFUNCTION("""COMPUTED_VALUE"""),"Building 2, No. 6, Xinxing Yiheng Road, Baisha, Humen Town, Dongguan，Guangdong")</f>
        <v>Building 2, No. 6, Xinxing Yiheng Road, Baisha, Humen Town, Dongguan，Guangdong</v>
      </c>
      <c r="V92" s="1"/>
      <c r="W92" s="1" t="str">
        <f>IFERROR(__xludf.DUMMYFUNCTION("""COMPUTED_VALUE"""),"+852 9177 9798")</f>
        <v>+852 9177 9798</v>
      </c>
      <c r="X92" s="1"/>
      <c r="Y92" s="1"/>
    </row>
    <row r="93" customHeight="1" spans="1:25">
      <c r="A93" s="1" t="str">
        <f>IFERROR(__xludf.DUMMYFUNCTION("""COMPUTED_VALUE"""),"sPYXToTonU3GqRhS23J189")</f>
        <v>sPYXToTonU3GqRhS23J189</v>
      </c>
      <c r="B93" s="1">
        <f>IFERROR(__xludf.DUMMYFUNCTION("""COMPUTED_VALUE"""),92)</f>
        <v>92</v>
      </c>
      <c r="C93" s="1" t="str">
        <f>IFERROR(__xludf.DUMMYFUNCTION("""COMPUTED_VALUE"""),"DL92")</f>
        <v>DL92</v>
      </c>
      <c r="D93" s="2">
        <f>IFERROR(__xludf.DUMMYFUNCTION("""COMPUTED_VALUE"""),45267)</f>
        <v>45267</v>
      </c>
      <c r="E93" s="1" t="str">
        <f>IFERROR(__xludf.DUMMYFUNCTION("""COMPUTED_VALUE"""),"Brent Badenhorst")</f>
        <v>Brent Badenhorst</v>
      </c>
      <c r="F93" s="1">
        <f>IFERROR(__xludf.DUMMYFUNCTION("""COMPUTED_VALUE"""),152)</f>
        <v>152</v>
      </c>
      <c r="G93" s="1" t="str">
        <f>IFERROR(__xludf.DUMMYFUNCTION("""COMPUTED_VALUE"""),"Webbing Vest")</f>
        <v>Webbing Vest</v>
      </c>
      <c r="H93" s="1">
        <f>IFERROR(__xludf.DUMMYFUNCTION("""COMPUTED_VALUE"""),6)</f>
        <v>6</v>
      </c>
      <c r="I93" s="1"/>
      <c r="J93" s="1">
        <f>IFERROR(__xludf.DUMMYFUNCTION("""COMPUTED_VALUE"""),0.67)</f>
        <v>0.67</v>
      </c>
      <c r="K93" s="1">
        <f>IFERROR(__xludf.DUMMYFUNCTION("""COMPUTED_VALUE"""),125)</f>
        <v>125</v>
      </c>
      <c r="L93" s="1" t="str">
        <f>IFERROR(__xludf.DUMMYFUNCTION("""COMPUTED_VALUE"""),"Yes")</f>
        <v>Yes</v>
      </c>
      <c r="M93" s="1" t="str">
        <f>IFERROR(__xludf.DUMMYFUNCTION("""COMPUTED_VALUE"""),"Yes")</f>
        <v>Yes</v>
      </c>
      <c r="N93" s="1" t="str">
        <f>IFERROR(__xludf.DUMMYFUNCTION("""COMPUTED_VALUE"""),"China")</f>
        <v>China</v>
      </c>
      <c r="O93" s="1" t="str">
        <f>IFERROR(__xludf.DUMMYFUNCTION("""COMPUTED_VALUE"""),"Guangzhou")</f>
        <v>Guangzhou</v>
      </c>
      <c r="P93" s="1" t="str">
        <f>IFERROR(__xludf.DUMMYFUNCTION("""COMPUTED_VALUE"""),"South Africa")</f>
        <v>South Africa</v>
      </c>
      <c r="Q93" s="1" t="str">
        <f>IFERROR(__xludf.DUMMYFUNCTION("""COMPUTED_VALUE"""),"Durban")</f>
        <v>Durban</v>
      </c>
      <c r="R93" s="1" t="str">
        <f>IFERROR(__xludf.DUMMYFUNCTION("""COMPUTED_VALUE"""),"Sea")</f>
        <v>Sea</v>
      </c>
      <c r="S93" s="1" t="str">
        <f>IFERROR(__xludf.DUMMYFUNCTION("""COMPUTED_VALUE"""),"EXW")</f>
        <v>EXW</v>
      </c>
      <c r="T93" s="1" t="str">
        <f>IFERROR(__xludf.DUMMYFUNCTION("""COMPUTED_VALUE"""),"SHENZHEN NIMBUS SHIPPING CO.,LTD")</f>
        <v>SHENZHEN NIMBUS SHIPPING CO.,LTD</v>
      </c>
      <c r="U93" s="1" t="str">
        <f>IFERROR(__xludf.DUMMYFUNCTION("""COMPUTED_VALUE"""),"RM416,V VALLEY CITY SHANHAI,NO.1 YONGXIANG ROAD,BANTIAN STREET,LONGGANG DISTRICT,SHENZHEN,CHINA")</f>
        <v>RM416,V VALLEY CITY SHANHAI,NO.1 YONGXIANG ROAD,BANTIAN STREET,LONGGANG DISTRICT,SHENZHEN,CHINA</v>
      </c>
      <c r="V93" s="1"/>
      <c r="W93" s="1" t="str">
        <f>IFERROR(__xludf.DUMMYFUNCTION("""COMPUTED_VALUE"""),"008675589699684")</f>
        <v>008675589699684</v>
      </c>
      <c r="X93" s="1"/>
      <c r="Y93" s="1"/>
    </row>
    <row r="94" customHeight="1" spans="1:25">
      <c r="A94" s="1" t="str">
        <f>IFERROR(__xludf.DUMMYFUNCTION("""COMPUTED_VALUE"""),"PvTS83cDKL7Lxl34yvrG0U")</f>
        <v>PvTS83cDKL7Lxl34yvrG0U</v>
      </c>
      <c r="B94" s="1">
        <f>IFERROR(__xludf.DUMMYFUNCTION("""COMPUTED_VALUE"""),93)</f>
        <v>93</v>
      </c>
      <c r="C94" s="1" t="str">
        <f>IFERROR(__xludf.DUMMYFUNCTION("""COMPUTED_VALUE"""),"DL93")</f>
        <v>DL93</v>
      </c>
      <c r="D94" s="2">
        <f>IFERROR(__xludf.DUMMYFUNCTION("""COMPUTED_VALUE"""),45266)</f>
        <v>45266</v>
      </c>
      <c r="E94" s="1" t="str">
        <f>IFERROR(__xludf.DUMMYFUNCTION("""COMPUTED_VALUE"""),"Sithembe Procuments")</f>
        <v>Sithembe Procuments</v>
      </c>
      <c r="F94" s="1"/>
      <c r="G94" s="1" t="str">
        <f>IFERROR(__xludf.DUMMYFUNCTION("""COMPUTED_VALUE"""),"Breathing Apparatus")</f>
        <v>Breathing Apparatus</v>
      </c>
      <c r="H94" s="1">
        <f>IFERROR(__xludf.DUMMYFUNCTION("""COMPUTED_VALUE"""),60)</f>
        <v>60</v>
      </c>
      <c r="I94" s="1"/>
      <c r="J94" s="1">
        <f>IFERROR(__xludf.DUMMYFUNCTION("""COMPUTED_VALUE"""),6.26)</f>
        <v>6.26</v>
      </c>
      <c r="K94" s="1">
        <f>IFERROR(__xludf.DUMMYFUNCTION("""COMPUTED_VALUE"""),995)</f>
        <v>995</v>
      </c>
      <c r="L94" s="1" t="str">
        <f>IFERROR(__xludf.DUMMYFUNCTION("""COMPUTED_VALUE"""),"Yes")</f>
        <v>Yes</v>
      </c>
      <c r="M94" s="1" t="str">
        <f>IFERROR(__xludf.DUMMYFUNCTION("""COMPUTED_VALUE"""),"Yes")</f>
        <v>Yes</v>
      </c>
      <c r="N94" s="1" t="str">
        <f>IFERROR(__xludf.DUMMYFUNCTION("""COMPUTED_VALUE"""),"China")</f>
        <v>China</v>
      </c>
      <c r="O94" s="1" t="str">
        <f>IFERROR(__xludf.DUMMYFUNCTION("""COMPUTED_VALUE"""),"BEIJING")</f>
        <v>BEIJING</v>
      </c>
      <c r="P94" s="1" t="str">
        <f>IFERROR(__xludf.DUMMYFUNCTION("""COMPUTED_VALUE"""),"South Africa")</f>
        <v>South Africa</v>
      </c>
      <c r="Q94" s="1" t="str">
        <f>IFERROR(__xludf.DUMMYFUNCTION("""COMPUTED_VALUE"""),"Mpumalanga")</f>
        <v>Mpumalanga</v>
      </c>
      <c r="R94" s="1" t="str">
        <f>IFERROR(__xludf.DUMMYFUNCTION("""COMPUTED_VALUE"""),"Air")</f>
        <v>Air</v>
      </c>
      <c r="S94" s="1" t="str">
        <f>IFERROR(__xludf.DUMMYFUNCTION("""COMPUTED_VALUE"""),"FOB")</f>
        <v>FOB</v>
      </c>
      <c r="T94" s="1" t="str">
        <f>IFERROR(__xludf.DUMMYFUNCTION("""COMPUTED_VALUE"""),"BEIJING TOPSKY INTELLIGENT EQUIPMENT GROUP CO., LTD")</f>
        <v>BEIJING TOPSKY INTELLIGENT EQUIPMENT GROUP CO., LTD</v>
      </c>
      <c r="U94" s="1" t="str">
        <f>IFERROR(__xludf.DUMMYFUNCTION("""COMPUTED_VALUE"""),"ADD: 10BNo.17 Huanke Zhong Road, Jinqiao industry base, Tongzhou District, Beijing, China")</f>
        <v>ADD: 10BNo.17 Huanke Zhong Road, Jinqiao industry base, Tongzhou District, Beijing, China</v>
      </c>
      <c r="V94" s="1"/>
      <c r="W94" s="1" t="str">
        <f>IFERROR(__xludf.DUMMYFUNCTION("""COMPUTED_VALUE"""),"0086-13683015302")</f>
        <v>0086-13683015302</v>
      </c>
      <c r="X94" s="1"/>
      <c r="Y94" s="1"/>
    </row>
    <row r="95" customHeight="1" spans="1:25">
      <c r="A95" s="1" t="str">
        <f>IFERROR(__xludf.DUMMYFUNCTION("""COMPUTED_VALUE"""),"d760ROeZsDt2tSpacITjUQ")</f>
        <v>d760ROeZsDt2tSpacITjUQ</v>
      </c>
      <c r="B95" s="1">
        <f>IFERROR(__xludf.DUMMYFUNCTION("""COMPUTED_VALUE"""),94)</f>
        <v>94</v>
      </c>
      <c r="C95" s="1" t="str">
        <f>IFERROR(__xludf.DUMMYFUNCTION("""COMPUTED_VALUE"""),"DL94")</f>
        <v>DL94</v>
      </c>
      <c r="D95" s="2">
        <f>IFERROR(__xludf.DUMMYFUNCTION("""COMPUTED_VALUE"""),45260)</f>
        <v>45260</v>
      </c>
      <c r="E95" s="1" t="str">
        <f>IFERROR(__xludf.DUMMYFUNCTION("""COMPUTED_VALUE"""),"TOP TECH CATERING")</f>
        <v>TOP TECH CATERING</v>
      </c>
      <c r="F95" s="1">
        <f>IFERROR(__xludf.DUMMYFUNCTION("""COMPUTED_VALUE"""),82)</f>
        <v>82</v>
      </c>
      <c r="G95" s="1" t="str">
        <f>IFERROR(__xludf.DUMMYFUNCTION("""COMPUTED_VALUE"""),"CATERING EQUIPMENT")</f>
        <v>CATERING EQUIPMENT</v>
      </c>
      <c r="H95" s="1">
        <f>IFERROR(__xludf.DUMMYFUNCTION("""COMPUTED_VALUE"""),164)</f>
        <v>164</v>
      </c>
      <c r="I95" s="1"/>
      <c r="J95" s="1">
        <f>IFERROR(__xludf.DUMMYFUNCTION("""COMPUTED_VALUE"""),66.68)</f>
        <v>66.68</v>
      </c>
      <c r="K95" s="1">
        <f>IFERROR(__xludf.DUMMYFUNCTION("""COMPUTED_VALUE"""),11800)</f>
        <v>11800</v>
      </c>
      <c r="L95" s="1" t="str">
        <f>IFERROR(__xludf.DUMMYFUNCTION("""COMPUTED_VALUE"""),"Yes")</f>
        <v>Yes</v>
      </c>
      <c r="M95" s="1" t="str">
        <f>IFERROR(__xludf.DUMMYFUNCTION("""COMPUTED_VALUE"""),"Yes")</f>
        <v>Yes</v>
      </c>
      <c r="N95" s="1" t="str">
        <f>IFERROR(__xludf.DUMMYFUNCTION("""COMPUTED_VALUE"""),"CHINA")</f>
        <v>CHINA</v>
      </c>
      <c r="O95" s="1" t="str">
        <f>IFERROR(__xludf.DUMMYFUNCTION("""COMPUTED_VALUE"""),"BAIYUN DISTRICT")</f>
        <v>BAIYUN DISTRICT</v>
      </c>
      <c r="P95" s="1" t="str">
        <f>IFERROR(__xludf.DUMMYFUNCTION("""COMPUTED_VALUE"""),"SOUTH AFRICA")</f>
        <v>SOUTH AFRICA</v>
      </c>
      <c r="Q95" s="1" t="str">
        <f>IFERROR(__xludf.DUMMYFUNCTION("""COMPUTED_VALUE"""),"MIDRAND, JHB")</f>
        <v>MIDRAND, JHB</v>
      </c>
      <c r="R95" s="1" t="str">
        <f>IFERROR(__xludf.DUMMYFUNCTION("""COMPUTED_VALUE"""),"Sea")</f>
        <v>Sea</v>
      </c>
      <c r="S95" s="1" t="str">
        <f>IFERROR(__xludf.DUMMYFUNCTION("""COMPUTED_VALUE"""),"EXW")</f>
        <v>EXW</v>
      </c>
      <c r="T95" s="1" t="str">
        <f>IFERROR(__xludf.DUMMYFUNCTION("""COMPUTED_VALUE"""),"GUANGZHOU WEI GE MACHINERY EQUIPMENT CO., LTD")</f>
        <v>GUANGZHOU WEI GE MACHINERY EQUIPMENT CO., LTD</v>
      </c>
      <c r="U95" s="1" t="str">
        <f>IFERROR(__xludf.DUMMYFUNCTION("""COMPUTED_VALUE"""),"ROOM 101,201,NO.116 &amp; ROOM 101,NO.106 TANGGE GREEN MIDDLE ROAD , BAIYUN DISCTRICT CHINA")</f>
        <v>ROOM 101,201,NO.116 &amp; ROOM 101,NO.106 TANGGE GREEN MIDDLE ROAD , BAIYUN DISCTRICT CHINA</v>
      </c>
      <c r="V95" s="1"/>
      <c r="W95" s="1"/>
      <c r="X95" s="1"/>
      <c r="Y95" s="1"/>
    </row>
    <row r="96" customHeight="1" spans="1:25">
      <c r="A96" s="1" t="str">
        <f>IFERROR(__xludf.DUMMYFUNCTION("""COMPUTED_VALUE"""),"mFhkOWBVqIpqykZVj1EwNq")</f>
        <v>mFhkOWBVqIpqykZVj1EwNq</v>
      </c>
      <c r="B96" s="1">
        <f>IFERROR(__xludf.DUMMYFUNCTION("""COMPUTED_VALUE"""),95)</f>
        <v>95</v>
      </c>
      <c r="C96" s="1" t="str">
        <f>IFERROR(__xludf.DUMMYFUNCTION("""COMPUTED_VALUE"""),"DL95")</f>
        <v>DL95</v>
      </c>
      <c r="D96" s="2">
        <f>IFERROR(__xludf.DUMMYFUNCTION("""COMPUTED_VALUE"""),45260)</f>
        <v>45260</v>
      </c>
      <c r="E96" s="1" t="str">
        <f>IFERROR(__xludf.DUMMYFUNCTION("""COMPUTED_VALUE"""),"TOP TECH CATERING")</f>
        <v>TOP TECH CATERING</v>
      </c>
      <c r="F96" s="1">
        <f>IFERROR(__xludf.DUMMYFUNCTION("""COMPUTED_VALUE"""),82)</f>
        <v>82</v>
      </c>
      <c r="G96" s="1" t="str">
        <f>IFERROR(__xludf.DUMMYFUNCTION("""COMPUTED_VALUE"""),"CATERING EQUIPMENT")</f>
        <v>CATERING EQUIPMENT</v>
      </c>
      <c r="H96" s="1">
        <f>IFERROR(__xludf.DUMMYFUNCTION("""COMPUTED_VALUE"""),81)</f>
        <v>81</v>
      </c>
      <c r="I96" s="1"/>
      <c r="J96" s="1">
        <f>IFERROR(__xludf.DUMMYFUNCTION("""COMPUTED_VALUE"""),68.75)</f>
        <v>68.75</v>
      </c>
      <c r="K96" s="1">
        <f>IFERROR(__xludf.DUMMYFUNCTION("""COMPUTED_VALUE"""),65560)</f>
        <v>65560</v>
      </c>
      <c r="L96" s="1" t="str">
        <f>IFERROR(__xludf.DUMMYFUNCTION("""COMPUTED_VALUE"""),"Yes")</f>
        <v>Yes</v>
      </c>
      <c r="M96" s="1" t="str">
        <f>IFERROR(__xludf.DUMMYFUNCTION("""COMPUTED_VALUE"""),"Yes")</f>
        <v>Yes</v>
      </c>
      <c r="N96" s="1" t="str">
        <f>IFERROR(__xludf.DUMMYFUNCTION("""COMPUTED_VALUE"""),"CHINA")</f>
        <v>CHINA</v>
      </c>
      <c r="O96" s="1" t="str">
        <f>IFERROR(__xludf.DUMMYFUNCTION("""COMPUTED_VALUE"""),"BAIYUN")</f>
        <v>BAIYUN</v>
      </c>
      <c r="P96" s="1" t="str">
        <f>IFERROR(__xludf.DUMMYFUNCTION("""COMPUTED_VALUE"""),"SOUTH AFRICA")</f>
        <v>SOUTH AFRICA</v>
      </c>
      <c r="Q96" s="1" t="str">
        <f>IFERROR(__xludf.DUMMYFUNCTION("""COMPUTED_VALUE"""),"MIDRAND , JOBURG")</f>
        <v>MIDRAND , JOBURG</v>
      </c>
      <c r="R96" s="1" t="str">
        <f>IFERROR(__xludf.DUMMYFUNCTION("""COMPUTED_VALUE"""),"Sea")</f>
        <v>Sea</v>
      </c>
      <c r="S96" s="1" t="str">
        <f>IFERROR(__xludf.DUMMYFUNCTION("""COMPUTED_VALUE"""),"EXW")</f>
        <v>EXW</v>
      </c>
      <c r="T96" s="1" t="str">
        <f>IFERROR(__xludf.DUMMYFUNCTION("""COMPUTED_VALUE"""),"GUANGZHOU WEI GE MACHINERY EQUIPMENT CO., LTD")</f>
        <v>GUANGZHOU WEI GE MACHINERY EQUIPMENT CO., LTD</v>
      </c>
      <c r="U96" s="1" t="str">
        <f>IFERROR(__xludf.DUMMYFUNCTION("""COMPUTED_VALUE"""),"ROOM 101,201,NO.116 &amp; ROOM 101,NO.106 TANGGE GREEN MIDDLE ROAD,BAIYUN")</f>
        <v>ROOM 101,201,NO.116 &amp; ROOM 101,NO.106 TANGGE GREEN MIDDLE ROAD,BAIYUN</v>
      </c>
      <c r="V96" s="1"/>
      <c r="W96" s="1"/>
      <c r="X96" s="1"/>
      <c r="Y96" s="1"/>
    </row>
    <row r="97" customHeight="1" spans="1:25">
      <c r="A97" s="1" t="str">
        <f>IFERROR(__xludf.DUMMYFUNCTION("""COMPUTED_VALUE"""),"yWEtzr8H3ww7wNw7ZdKohP")</f>
        <v>yWEtzr8H3ww7wNw7ZdKohP</v>
      </c>
      <c r="B97" s="1">
        <f>IFERROR(__xludf.DUMMYFUNCTION("""COMPUTED_VALUE"""),96)</f>
        <v>96</v>
      </c>
      <c r="C97" s="1" t="str">
        <f>IFERROR(__xludf.DUMMYFUNCTION("""COMPUTED_VALUE"""),"DL96")</f>
        <v>DL96</v>
      </c>
      <c r="D97" s="2">
        <f>IFERROR(__xludf.DUMMYFUNCTION("""COMPUTED_VALUE"""),45268)</f>
        <v>45268</v>
      </c>
      <c r="E97" s="1" t="str">
        <f>IFERROR(__xludf.DUMMYFUNCTION("""COMPUTED_VALUE"""),"TOP TECH CATERING")</f>
        <v>TOP TECH CATERING</v>
      </c>
      <c r="F97" s="1">
        <f>IFERROR(__xludf.DUMMYFUNCTION("""COMPUTED_VALUE"""),82)</f>
        <v>82</v>
      </c>
      <c r="G97" s="1" t="str">
        <f>IFERROR(__xludf.DUMMYFUNCTION("""COMPUTED_VALUE"""),"Catering Equipment")</f>
        <v>Catering Equipment</v>
      </c>
      <c r="H97" s="1">
        <f>IFERROR(__xludf.DUMMYFUNCTION("""COMPUTED_VALUE"""),153)</f>
        <v>153</v>
      </c>
      <c r="I97" s="1"/>
      <c r="J97" s="1">
        <f>IFERROR(__xludf.DUMMYFUNCTION("""COMPUTED_VALUE"""),67)</f>
        <v>67</v>
      </c>
      <c r="K97" s="1">
        <f>IFERROR(__xludf.DUMMYFUNCTION("""COMPUTED_VALUE"""),10.68)</f>
        <v>10.68</v>
      </c>
      <c r="L97" s="1" t="str">
        <f>IFERROR(__xludf.DUMMYFUNCTION("""COMPUTED_VALUE"""),"Yes")</f>
        <v>Yes</v>
      </c>
      <c r="M97" s="1" t="str">
        <f>IFERROR(__xludf.DUMMYFUNCTION("""COMPUTED_VALUE"""),"Yes")</f>
        <v>Yes</v>
      </c>
      <c r="N97" s="1" t="str">
        <f>IFERROR(__xludf.DUMMYFUNCTION("""COMPUTED_VALUE"""),"China")</f>
        <v>China</v>
      </c>
      <c r="O97" s="1" t="str">
        <f>IFERROR(__xludf.DUMMYFUNCTION("""COMPUTED_VALUE"""),"Baiyun")</f>
        <v>Baiyun</v>
      </c>
      <c r="P97" s="1" t="str">
        <f>IFERROR(__xludf.DUMMYFUNCTION("""COMPUTED_VALUE"""),"South Africa")</f>
        <v>South Africa</v>
      </c>
      <c r="Q97" s="1" t="str">
        <f>IFERROR(__xludf.DUMMYFUNCTION("""COMPUTED_VALUE"""),"Midrand")</f>
        <v>Midrand</v>
      </c>
      <c r="R97" s="1" t="str">
        <f>IFERROR(__xludf.DUMMYFUNCTION("""COMPUTED_VALUE"""),"Sea")</f>
        <v>Sea</v>
      </c>
      <c r="S97" s="1" t="str">
        <f>IFERROR(__xludf.DUMMYFUNCTION("""COMPUTED_VALUE"""),"EXW")</f>
        <v>EXW</v>
      </c>
      <c r="T97" s="1" t="str">
        <f>IFERROR(__xludf.DUMMYFUNCTION("""COMPUTED_VALUE"""),"SHENZHEN NIMBUS SHIPPING CO.,LTD")</f>
        <v>SHENZHEN NIMBUS SHIPPING CO.,LTD</v>
      </c>
      <c r="U97" s="1" t="str">
        <f>IFERROR(__xludf.DUMMYFUNCTION("""COMPUTED_VALUE"""),"Yong Xiang Lu, Long Gang Qu, Shen Zhen Shi, Guang Dong Sheng, China")</f>
        <v>Yong Xiang Lu, Long Gang Qu, Shen Zhen Shi, Guang Dong Sheng, China</v>
      </c>
      <c r="V97" s="1"/>
      <c r="W97" s="1"/>
      <c r="X97" s="1"/>
      <c r="Y97" s="1"/>
    </row>
    <row r="98" customHeight="1" spans="1:25">
      <c r="A98" s="1" t="str">
        <f>IFERROR(__xludf.DUMMYFUNCTION("""COMPUTED_VALUE"""),"1L4FgdvbG3021eBnxTW65j")</f>
        <v>1L4FgdvbG3021eBnxTW65j</v>
      </c>
      <c r="B98" s="1">
        <f>IFERROR(__xludf.DUMMYFUNCTION("""COMPUTED_VALUE"""),97)</f>
        <v>97</v>
      </c>
      <c r="C98" s="1" t="str">
        <f>IFERROR(__xludf.DUMMYFUNCTION("""COMPUTED_VALUE"""),"DL97")</f>
        <v>DL97</v>
      </c>
      <c r="D98" s="2">
        <f>IFERROR(__xludf.DUMMYFUNCTION("""COMPUTED_VALUE"""),45274)</f>
        <v>45274</v>
      </c>
      <c r="E98" s="1" t="str">
        <f>IFERROR(__xludf.DUMMYFUNCTION("""COMPUTED_VALUE"""),"African Technopreneurs")</f>
        <v>African Technopreneurs</v>
      </c>
      <c r="F98" s="1">
        <f>IFERROR(__xludf.DUMMYFUNCTION("""COMPUTED_VALUE"""),157)</f>
        <v>157</v>
      </c>
      <c r="G98" s="1" t="str">
        <f>IFERROR(__xludf.DUMMYFUNCTION("""COMPUTED_VALUE"""),"Cabinet for display")</f>
        <v>Cabinet for display</v>
      </c>
      <c r="H98" s="1">
        <f>IFERROR(__xludf.DUMMYFUNCTION("""COMPUTED_VALUE"""),3)</f>
        <v>3</v>
      </c>
      <c r="I98" s="1"/>
      <c r="J98" s="1">
        <f>IFERROR(__xludf.DUMMYFUNCTION("""COMPUTED_VALUE"""),2.25)</f>
        <v>2.25</v>
      </c>
      <c r="K98" s="1">
        <f>IFERROR(__xludf.DUMMYFUNCTION("""COMPUTED_VALUE"""),376)</f>
        <v>376</v>
      </c>
      <c r="L98" s="1" t="str">
        <f>IFERROR(__xludf.DUMMYFUNCTION("""COMPUTED_VALUE"""),"Yes")</f>
        <v>Yes</v>
      </c>
      <c r="M98" s="1" t="str">
        <f>IFERROR(__xludf.DUMMYFUNCTION("""COMPUTED_VALUE"""),"Yes")</f>
        <v>Yes</v>
      </c>
      <c r="N98" s="1" t="str">
        <f>IFERROR(__xludf.DUMMYFUNCTION("""COMPUTED_VALUE"""),"CHINA")</f>
        <v>CHINA</v>
      </c>
      <c r="O98" s="1" t="str">
        <f>IFERROR(__xludf.DUMMYFUNCTION("""COMPUTED_VALUE"""),"SHENZHEN")</f>
        <v>SHENZHEN</v>
      </c>
      <c r="P98" s="1" t="str">
        <f>IFERROR(__xludf.DUMMYFUNCTION("""COMPUTED_VALUE"""),"SOUTH AFRICA")</f>
        <v>SOUTH AFRICA</v>
      </c>
      <c r="Q98" s="1" t="str">
        <f>IFERROR(__xludf.DUMMYFUNCTION("""COMPUTED_VALUE"""),"CENTURION")</f>
        <v>CENTURION</v>
      </c>
      <c r="R98" s="1" t="str">
        <f>IFERROR(__xludf.DUMMYFUNCTION("""COMPUTED_VALUE"""),"Sea")</f>
        <v>Sea</v>
      </c>
      <c r="S98" s="1" t="str">
        <f>IFERROR(__xludf.DUMMYFUNCTION("""COMPUTED_VALUE"""),"EXW")</f>
        <v>EXW</v>
      </c>
      <c r="T98" s="1" t="str">
        <f>IFERROR(__xludf.DUMMYFUNCTION("""COMPUTED_VALUE"""),"SHENZHEN NIMBUS SHIPPING CO.,LTD")</f>
        <v>SHENZHEN NIMBUS SHIPPING CO.,LTD</v>
      </c>
      <c r="U98" s="1" t="str">
        <f>IFERROR(__xludf.DUMMYFUNCTION("""COMPUTED_VALUE"""),"Yong Xiang Lu, Long Gang Qu, Shen Zhen Shi, Guang Dong Sheng, China")</f>
        <v>Yong Xiang Lu, Long Gang Qu, Shen Zhen Shi, Guang Dong Sheng, China</v>
      </c>
      <c r="V98" s="1"/>
      <c r="W98" s="1" t="str">
        <f>IFERROR(__xludf.DUMMYFUNCTION("""COMPUTED_VALUE"""),"008675589699684")</f>
        <v>008675589699684</v>
      </c>
      <c r="X98" s="1"/>
      <c r="Y98" s="1"/>
    </row>
    <row r="99" customHeight="1" spans="1:25">
      <c r="A99" s="1" t="str">
        <f>IFERROR(__xludf.DUMMYFUNCTION("""COMPUTED_VALUE"""),"DR328L4lzX6YIOfPsDgrEv")</f>
        <v>DR328L4lzX6YIOfPsDgrEv</v>
      </c>
      <c r="B99" s="1">
        <f>IFERROR(__xludf.DUMMYFUNCTION("""COMPUTED_VALUE"""),98)</f>
        <v>98</v>
      </c>
      <c r="C99" s="1" t="str">
        <f>IFERROR(__xludf.DUMMYFUNCTION("""COMPUTED_VALUE"""),"DL98")</f>
        <v>DL98</v>
      </c>
      <c r="D99" s="2">
        <f>IFERROR(__xludf.DUMMYFUNCTION("""COMPUTED_VALUE"""),45278)</f>
        <v>45278</v>
      </c>
      <c r="E99" s="1" t="str">
        <f>IFERROR(__xludf.DUMMYFUNCTION("""COMPUTED_VALUE"""),"African Technopreneurs")</f>
        <v>African Technopreneurs</v>
      </c>
      <c r="F99" s="1">
        <f>IFERROR(__xludf.DUMMYFUNCTION("""COMPUTED_VALUE"""),157)</f>
        <v>157</v>
      </c>
      <c r="G99" s="1" t="str">
        <f>IFERROR(__xludf.DUMMYFUNCTION("""COMPUTED_VALUE"""),"Techno Equipment")</f>
        <v>Techno Equipment</v>
      </c>
      <c r="H99" s="1">
        <f>IFERROR(__xludf.DUMMYFUNCTION("""COMPUTED_VALUE"""),29)</f>
        <v>29</v>
      </c>
      <c r="I99" s="1"/>
      <c r="J99" s="1">
        <f>IFERROR(__xludf.DUMMYFUNCTION("""COMPUTED_VALUE"""),1.57)</f>
        <v>1.57</v>
      </c>
      <c r="K99" s="1">
        <f>IFERROR(__xludf.DUMMYFUNCTION("""COMPUTED_VALUE"""),314)</f>
        <v>314</v>
      </c>
      <c r="L99" s="1" t="str">
        <f>IFERROR(__xludf.DUMMYFUNCTION("""COMPUTED_VALUE"""),"Yes")</f>
        <v>Yes</v>
      </c>
      <c r="M99" s="1" t="str">
        <f>IFERROR(__xludf.DUMMYFUNCTION("""COMPUTED_VALUE"""),"Yes")</f>
        <v>Yes</v>
      </c>
      <c r="N99" s="1" t="str">
        <f>IFERROR(__xludf.DUMMYFUNCTION("""COMPUTED_VALUE"""),"China")</f>
        <v>China</v>
      </c>
      <c r="O99" s="1" t="str">
        <f>IFERROR(__xludf.DUMMYFUNCTION("""COMPUTED_VALUE"""),"HongKong")</f>
        <v>HongKong</v>
      </c>
      <c r="P99" s="1" t="str">
        <f>IFERROR(__xludf.DUMMYFUNCTION("""COMPUTED_VALUE"""),"South Africa")</f>
        <v>South Africa</v>
      </c>
      <c r="Q99" s="1" t="str">
        <f>IFERROR(__xludf.DUMMYFUNCTION("""COMPUTED_VALUE"""),"Centurion")</f>
        <v>Centurion</v>
      </c>
      <c r="R99" s="1" t="str">
        <f>IFERROR(__xludf.DUMMYFUNCTION("""COMPUTED_VALUE"""),"Air")</f>
        <v>Air</v>
      </c>
      <c r="S99" s="1" t="str">
        <f>IFERROR(__xludf.DUMMYFUNCTION("""COMPUTED_VALUE"""),"FOB")</f>
        <v>FOB</v>
      </c>
      <c r="T99" s="1" t="str">
        <f>IFERROR(__xludf.DUMMYFUNCTION("""COMPUTED_VALUE"""),"Shenzhen Nimbus Co Ltd")</f>
        <v>Shenzhen Nimbus Co Ltd</v>
      </c>
      <c r="U99" s="1" t="str">
        <f>IFERROR(__xludf.DUMMYFUNCTION("""COMPUTED_VALUE"""),"RM416,V VALLEY CITY SHANHAI,NO.1 YONGXIANG ROAD,BANTIAN STREET,LONGGANG DISTRICT,SHENZHEN,CHINA.")</f>
        <v>RM416,V VALLEY CITY SHANHAI,NO.1 YONGXIANG ROAD,BANTIAN STREET,LONGGANG DISTRICT,SHENZHEN,CHINA.</v>
      </c>
      <c r="V99" s="1"/>
      <c r="W99" s="1" t="str">
        <f>IFERROR(__xludf.DUMMYFUNCTION("""COMPUTED_VALUE"""),"008675589699684")</f>
        <v>008675589699684</v>
      </c>
      <c r="X99" s="1"/>
      <c r="Y99" s="1"/>
    </row>
    <row r="100" customHeight="1" spans="1:25">
      <c r="A100" s="1" t="str">
        <f>IFERROR(__xludf.DUMMYFUNCTION("""COMPUTED_VALUE"""),"SBHofKcHBGWekSy8uKB4gg")</f>
        <v>SBHofKcHBGWekSy8uKB4gg</v>
      </c>
      <c r="B100" s="1">
        <f>IFERROR(__xludf.DUMMYFUNCTION("""COMPUTED_VALUE"""),99)</f>
        <v>99</v>
      </c>
      <c r="C100" s="1" t="str">
        <f>IFERROR(__xludf.DUMMYFUNCTION("""COMPUTED_VALUE"""),"DL99")</f>
        <v>DL99</v>
      </c>
      <c r="D100" s="2">
        <f>IFERROR(__xludf.DUMMYFUNCTION("""COMPUTED_VALUE"""),45280)</f>
        <v>45280</v>
      </c>
      <c r="E100" s="1" t="str">
        <f>IFERROR(__xludf.DUMMYFUNCTION("""COMPUTED_VALUE"""),"lezahn")</f>
        <v>lezahn</v>
      </c>
      <c r="F100" s="1">
        <f>IFERROR(__xludf.DUMMYFUNCTION("""COMPUTED_VALUE"""),118)</f>
        <v>118</v>
      </c>
      <c r="G100" s="1" t="str">
        <f>IFERROR(__xludf.DUMMYFUNCTION("""COMPUTED_VALUE"""),"Tire anti puncture, silent and explosion-proof pad")</f>
        <v>Tire anti puncture, silent and explosion-proof pad</v>
      </c>
      <c r="H100" s="1">
        <f>IFERROR(__xludf.DUMMYFUNCTION("""COMPUTED_VALUE"""),2)</f>
        <v>2</v>
      </c>
      <c r="I100" s="1"/>
      <c r="J100" s="1">
        <f>IFERROR(__xludf.DUMMYFUNCTION("""COMPUTED_VALUE"""),0.08)</f>
        <v>0.08</v>
      </c>
      <c r="K100" s="1">
        <f>IFERROR(__xludf.DUMMYFUNCTION("""COMPUTED_VALUE"""),11)</f>
        <v>11</v>
      </c>
      <c r="L100" s="1" t="str">
        <f>IFERROR(__xludf.DUMMYFUNCTION("""COMPUTED_VALUE"""),"Yes")</f>
        <v>Yes</v>
      </c>
      <c r="M100" s="1" t="str">
        <f>IFERROR(__xludf.DUMMYFUNCTION("""COMPUTED_VALUE"""),"Yes")</f>
        <v>Yes</v>
      </c>
      <c r="N100" s="1" t="str">
        <f>IFERROR(__xludf.DUMMYFUNCTION("""COMPUTED_VALUE"""),"China")</f>
        <v>China</v>
      </c>
      <c r="O100" s="1" t="str">
        <f>IFERROR(__xludf.DUMMYFUNCTION("""COMPUTED_VALUE"""),"Guangdong")</f>
        <v>Guangdong</v>
      </c>
      <c r="P100" s="1" t="str">
        <f>IFERROR(__xludf.DUMMYFUNCTION("""COMPUTED_VALUE"""),"South Africa")</f>
        <v>South Africa</v>
      </c>
      <c r="Q100" s="1" t="str">
        <f>IFERROR(__xludf.DUMMYFUNCTION("""COMPUTED_VALUE"""),"Cape Town")</f>
        <v>Cape Town</v>
      </c>
      <c r="R100" s="1" t="str">
        <f>IFERROR(__xludf.DUMMYFUNCTION("""COMPUTED_VALUE"""),"Air")</f>
        <v>Air</v>
      </c>
      <c r="S100" s="1" t="str">
        <f>IFERROR(__xludf.DUMMYFUNCTION("""COMPUTED_VALUE"""),"EXW")</f>
        <v>EXW</v>
      </c>
      <c r="T100" s="1" t="str">
        <f>IFERROR(__xludf.DUMMYFUNCTION("""COMPUTED_VALUE"""),"Shenzhen Nimbus Co Ltd")</f>
        <v>Shenzhen Nimbus Co Ltd</v>
      </c>
      <c r="U100" s="1" t="str">
        <f>IFERROR(__xludf.DUMMYFUNCTION("""COMPUTED_VALUE"""),"ROOM 1204-A,BUILDING 21,CHINA HISENSE INNOVATIONINDUSTRY CITY,NO. 11,GANLI 2ND ROAD,GANKENG")</f>
        <v>ROOM 1204-A,BUILDING 21,CHINA HISENSE INNOVATIONINDUSTRY CITY,NO. 11,GANLI 2ND ROAD,GANKENG</v>
      </c>
      <c r="V100" s="1"/>
      <c r="W100" s="1"/>
      <c r="X100" s="1"/>
      <c r="Y100" s="1"/>
    </row>
    <row r="101" customHeight="1" spans="1: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customHeight="1" spans="1:25">
      <c r="A102" s="1" t="str">
        <f>IFERROR(__xludf.DUMMYFUNCTION("""COMPUTED_VALUE"""),"kbgFojxppZDFlNKsRTDHE2")</f>
        <v>kbgFojxppZDFlNKsRTDHE2</v>
      </c>
      <c r="B102" s="1">
        <f>IFERROR(__xludf.DUMMYFUNCTION("""COMPUTED_VALUE"""),101)</f>
        <v>101</v>
      </c>
      <c r="C102" s="1" t="str">
        <f>IFERROR(__xludf.DUMMYFUNCTION("""COMPUTED_VALUE"""),"DL101")</f>
        <v>DL101</v>
      </c>
      <c r="D102" s="2">
        <f>IFERROR(__xludf.DUMMYFUNCTION("""COMPUTED_VALUE"""),45294)</f>
        <v>45294</v>
      </c>
      <c r="E102" s="1" t="str">
        <f>IFERROR(__xludf.DUMMYFUNCTION("""COMPUTED_VALUE"""),"African Technopreneurs")</f>
        <v>African Technopreneurs</v>
      </c>
      <c r="F102" s="1">
        <f>IFERROR(__xludf.DUMMYFUNCTION("""COMPUTED_VALUE"""),157)</f>
        <v>157</v>
      </c>
      <c r="G102" s="1" t="str">
        <f>IFERROR(__xludf.DUMMYFUNCTION("""COMPUTED_VALUE"""),"Action Cameras")</f>
        <v>Action Cameras</v>
      </c>
      <c r="H102" s="1">
        <f>IFERROR(__xludf.DUMMYFUNCTION("""COMPUTED_VALUE"""),15)</f>
        <v>15</v>
      </c>
      <c r="I102" s="1"/>
      <c r="J102" s="1">
        <f>IFERROR(__xludf.DUMMYFUNCTION("""COMPUTED_VALUE"""),0.87)</f>
        <v>0.87</v>
      </c>
      <c r="K102" s="1">
        <f>IFERROR(__xludf.DUMMYFUNCTION("""COMPUTED_VALUE"""),147.1)</f>
        <v>147.1</v>
      </c>
      <c r="L102" s="1" t="str">
        <f>IFERROR(__xludf.DUMMYFUNCTION("""COMPUTED_VALUE"""),"Yes")</f>
        <v>Yes</v>
      </c>
      <c r="M102" s="1" t="str">
        <f>IFERROR(__xludf.DUMMYFUNCTION("""COMPUTED_VALUE"""),"Yes")</f>
        <v>Yes</v>
      </c>
      <c r="N102" s="1" t="str">
        <f>IFERROR(__xludf.DUMMYFUNCTION("""COMPUTED_VALUE"""),"China")</f>
        <v>China</v>
      </c>
      <c r="O102" s="1" t="str">
        <f>IFERROR(__xludf.DUMMYFUNCTION("""COMPUTED_VALUE"""),"Shenzhen")</f>
        <v>Shenzhen</v>
      </c>
      <c r="P102" s="1" t="str">
        <f>IFERROR(__xludf.DUMMYFUNCTION("""COMPUTED_VALUE"""),"South Africa")</f>
        <v>South Africa</v>
      </c>
      <c r="Q102" s="1" t="str">
        <f>IFERROR(__xludf.DUMMYFUNCTION("""COMPUTED_VALUE"""),"Centurion")</f>
        <v>Centurion</v>
      </c>
      <c r="R102" s="1" t="str">
        <f>IFERROR(__xludf.DUMMYFUNCTION("""COMPUTED_VALUE"""),"Air")</f>
        <v>Air</v>
      </c>
      <c r="S102" s="1" t="str">
        <f>IFERROR(__xludf.DUMMYFUNCTION("""COMPUTED_VALUE"""),"FCA")</f>
        <v>FCA</v>
      </c>
      <c r="T102" s="1" t="str">
        <f>IFERROR(__xludf.DUMMYFUNCTION("""COMPUTED_VALUE"""),"ISTONE INNOVATION LIMITED")</f>
        <v>ISTONE INNOVATION LIMITED</v>
      </c>
      <c r="U102" s="1" t="str">
        <f>IFERROR(__xludf.DUMMYFUNCTION("""COMPUTED_VALUE"""),"Block C, Hang Wai Industrial Centre, 6 Kin Tai St, Tuen Mun, Hong Kong")</f>
        <v>Block C, Hang Wai Industrial Centre, 6 Kin Tai St, Tuen Mun, Hong Kong</v>
      </c>
      <c r="V102" s="1"/>
      <c r="W102" s="1" t="str">
        <f>IFERROR(__xludf.DUMMYFUNCTION("""COMPUTED_VALUE"""),"+852 21239148")</f>
        <v>+852 21239148</v>
      </c>
      <c r="X102" s="1"/>
      <c r="Y102" s="1"/>
    </row>
    <row r="103" customHeight="1" spans="1:25">
      <c r="A103" s="1" t="str">
        <f>IFERROR(__xludf.DUMMYFUNCTION("""COMPUTED_VALUE"""),"U5wJeuve97FzQovOvbrA32")</f>
        <v>U5wJeuve97FzQovOvbrA32</v>
      </c>
      <c r="B103" s="1">
        <f>IFERROR(__xludf.DUMMYFUNCTION("""COMPUTED_VALUE"""),102)</f>
        <v>102</v>
      </c>
      <c r="C103" s="1" t="str">
        <f>IFERROR(__xludf.DUMMYFUNCTION("""COMPUTED_VALUE"""),"DL102")</f>
        <v>DL102</v>
      </c>
      <c r="D103" s="2">
        <f>IFERROR(__xludf.DUMMYFUNCTION("""COMPUTED_VALUE"""),45289)</f>
        <v>45289</v>
      </c>
      <c r="E103" s="1" t="str">
        <f>IFERROR(__xludf.DUMMYFUNCTION("""COMPUTED_VALUE"""),"African Technopreneurs")</f>
        <v>African Technopreneurs</v>
      </c>
      <c r="F103" s="1">
        <f>IFERROR(__xludf.DUMMYFUNCTION("""COMPUTED_VALUE"""),157)</f>
        <v>157</v>
      </c>
      <c r="G103" s="1" t="str">
        <f>IFERROR(__xludf.DUMMYFUNCTION("""COMPUTED_VALUE"""),"Action Cameras")</f>
        <v>Action Cameras</v>
      </c>
      <c r="H103" s="1">
        <f>IFERROR(__xludf.DUMMYFUNCTION("""COMPUTED_VALUE"""),1)</f>
        <v>1</v>
      </c>
      <c r="I103" s="1"/>
      <c r="J103" s="1"/>
      <c r="K103" s="1">
        <f>IFERROR(__xludf.DUMMYFUNCTION("""COMPUTED_VALUE"""),320)</f>
        <v>320</v>
      </c>
      <c r="L103" s="1" t="str">
        <f>IFERROR(__xludf.DUMMYFUNCTION("""COMPUTED_VALUE"""),"Yes")</f>
        <v>Yes</v>
      </c>
      <c r="M103" s="1" t="str">
        <f>IFERROR(__xludf.DUMMYFUNCTION("""COMPUTED_VALUE"""),"Yes")</f>
        <v>Yes</v>
      </c>
      <c r="N103" s="1" t="str">
        <f>IFERROR(__xludf.DUMMYFUNCTION("""COMPUTED_VALUE"""),"South Africa")</f>
        <v>South Africa</v>
      </c>
      <c r="O103" s="1" t="str">
        <f>IFERROR(__xludf.DUMMYFUNCTION("""COMPUTED_VALUE"""),"Centurion")</f>
        <v>Centurion</v>
      </c>
      <c r="P103" s="1" t="str">
        <f>IFERROR(__xludf.DUMMYFUNCTION("""COMPUTED_VALUE"""),"Hongkong")</f>
        <v>Hongkong</v>
      </c>
      <c r="Q103" s="1"/>
      <c r="R103" s="1" t="str">
        <f>IFERROR(__xludf.DUMMYFUNCTION("""COMPUTED_VALUE"""),"Air")</f>
        <v>Air</v>
      </c>
      <c r="S103" s="1" t="str">
        <f>IFERROR(__xludf.DUMMYFUNCTION("""COMPUTED_VALUE"""),"EXW")</f>
        <v>EXW</v>
      </c>
      <c r="T103" s="1" t="str">
        <f>IFERROR(__xludf.DUMMYFUNCTION("""COMPUTED_VALUE"""),"Asia Direct")</f>
        <v>Asia Direct</v>
      </c>
      <c r="U103" s="1" t="str">
        <f>IFERROR(__xludf.DUMMYFUNCTION("""COMPUTED_VALUE"""),"Koorsboom Ave, Glen marais, Kempton Park, 1619, South Africa")</f>
        <v>Koorsboom Ave, Glen marais, Kempton Park, 1619, South Africa</v>
      </c>
      <c r="V103" s="1"/>
      <c r="W103" s="1" t="str">
        <f>IFERROR(__xludf.DUMMYFUNCTION("""COMPUTED_VALUE"""),"0104480733")</f>
        <v>0104480733</v>
      </c>
      <c r="X103" s="1"/>
      <c r="Y103" s="1"/>
    </row>
    <row r="104" customHeight="1" spans="1:25">
      <c r="A104" s="1" t="str">
        <f>IFERROR(__xludf.DUMMYFUNCTION("""COMPUTED_VALUE"""),"l5JCs3N6RyyuHbDWG2tQuQ")</f>
        <v>l5JCs3N6RyyuHbDWG2tQuQ</v>
      </c>
      <c r="B104" s="1">
        <f>IFERROR(__xludf.DUMMYFUNCTION("""COMPUTED_VALUE"""),103)</f>
        <v>103</v>
      </c>
      <c r="C104" s="1" t="str">
        <f>IFERROR(__xludf.DUMMYFUNCTION("""COMPUTED_VALUE"""),"DL103")</f>
        <v>DL103</v>
      </c>
      <c r="D104" s="2">
        <f>IFERROR(__xludf.DUMMYFUNCTION("""COMPUTED_VALUE"""),45250)</f>
        <v>45250</v>
      </c>
      <c r="E104" s="1" t="str">
        <f>IFERROR(__xludf.DUMMYFUNCTION("""COMPUTED_VALUE"""),"Lebotho trading &amp; construction Pty")</f>
        <v>Lebotho trading &amp; construction Pty</v>
      </c>
      <c r="F104" s="1">
        <f>IFERROR(__xludf.DUMMYFUNCTION("""COMPUTED_VALUE"""),353)</f>
        <v>353</v>
      </c>
      <c r="G104" s="1" t="str">
        <f>IFERROR(__xludf.DUMMYFUNCTION("""COMPUTED_VALUE"""),"Block Making Machine &amp; Roof Tiles")</f>
        <v>Block Making Machine &amp; Roof Tiles</v>
      </c>
      <c r="H104" s="1">
        <f>IFERROR(__xludf.DUMMYFUNCTION("""COMPUTED_VALUE"""),34)</f>
        <v>34</v>
      </c>
      <c r="I104" s="1"/>
      <c r="J104" s="1">
        <f>IFERROR(__xludf.DUMMYFUNCTION("""COMPUTED_VALUE"""),49)</f>
        <v>49</v>
      </c>
      <c r="K104" s="1">
        <f>IFERROR(__xludf.DUMMYFUNCTION("""COMPUTED_VALUE"""),20312)</f>
        <v>20312</v>
      </c>
      <c r="L104" s="1" t="str">
        <f>IFERROR(__xludf.DUMMYFUNCTION("""COMPUTED_VALUE"""),"Yes")</f>
        <v>Yes</v>
      </c>
      <c r="M104" s="1" t="str">
        <f>IFERROR(__xludf.DUMMYFUNCTION("""COMPUTED_VALUE"""),"Yes")</f>
        <v>Yes</v>
      </c>
      <c r="N104" s="1" t="str">
        <f>IFERROR(__xludf.DUMMYFUNCTION("""COMPUTED_VALUE"""),"China")</f>
        <v>China</v>
      </c>
      <c r="O104" s="1" t="str">
        <f>IFERROR(__xludf.DUMMYFUNCTION("""COMPUTED_VALUE"""),"Room 1402-1, Building 03, Lushang Center, Lanshan District, Linyi City, Shandong Province")</f>
        <v>Room 1402-1, Building 03, Lushang Center, Lanshan District, Linyi City, Shandong Province</v>
      </c>
      <c r="P104" s="1" t="str">
        <f>IFERROR(__xludf.DUMMYFUNCTION("""COMPUTED_VALUE"""),"South Africa")</f>
        <v>South Africa</v>
      </c>
      <c r="Q104" s="1" t="str">
        <f>IFERROR(__xludf.DUMMYFUNCTION("""COMPUTED_VALUE"""),"Limpopo")</f>
        <v>Limpopo</v>
      </c>
      <c r="R104" s="1" t="str">
        <f>IFERROR(__xludf.DUMMYFUNCTION("""COMPUTED_VALUE"""),"Sea")</f>
        <v>Sea</v>
      </c>
      <c r="S104" s="1" t="str">
        <f>IFERROR(__xludf.DUMMYFUNCTION("""COMPUTED_VALUE"""),"FOB")</f>
        <v>FOB</v>
      </c>
      <c r="T104" s="1" t="str">
        <f>IFERROR(__xludf.DUMMYFUNCTION("""COMPUTED_VALUE"""),"Aya")</f>
        <v>Aya</v>
      </c>
      <c r="U104" s="1" t="str">
        <f>IFERROR(__xludf.DUMMYFUNCTION("""COMPUTED_VALUE"""),"205-06316, CROSS YIHEER ROAD AND MENGSHANER ROAD, COMPREHESIVE BONDED ZONE,LIN")</f>
        <v>205-06316, CROSS YIHEER ROAD AND MENGSHANER ROAD, COMPREHESIVE BONDED ZONE,LIN</v>
      </c>
      <c r="V104" s="1" t="str">
        <f>IFERROR(__xludf.DUMMYFUNCTION("""COMPUTED_VALUE"""),"KATHERINE@CYUNCHINA.COM")</f>
        <v>KATHERINE@CYUNCHINA.COM</v>
      </c>
      <c r="W104" s="1" t="str">
        <f>IFERROR(__xludf.DUMMYFUNCTION("""COMPUTED_VALUE"""),"0086 166 5390 8901")</f>
        <v>0086 166 5390 8901</v>
      </c>
      <c r="X104" s="1"/>
      <c r="Y104" s="1"/>
    </row>
    <row r="105" customHeight="1" spans="1: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customHeight="1" spans="1:25">
      <c r="A106" s="1" t="str">
        <f>IFERROR(__xludf.DUMMYFUNCTION("""COMPUTED_VALUE"""),"eWn9zt9f1gw8CZYlGid41H")</f>
        <v>eWn9zt9f1gw8CZYlGid41H</v>
      </c>
      <c r="B106" s="1">
        <f>IFERROR(__xludf.DUMMYFUNCTION("""COMPUTED_VALUE"""),105)</f>
        <v>105</v>
      </c>
      <c r="C106" s="1" t="str">
        <f>IFERROR(__xludf.DUMMYFUNCTION("""COMPUTED_VALUE"""),"DL105")</f>
        <v>DL105</v>
      </c>
      <c r="D106" s="2">
        <f>IFERROR(__xludf.DUMMYFUNCTION("""COMPUTED_VALUE"""),45301)</f>
        <v>45301</v>
      </c>
      <c r="E106" s="1" t="str">
        <f>IFERROR(__xludf.DUMMYFUNCTION("""COMPUTED_VALUE"""),"Sithembe Procuments")</f>
        <v>Sithembe Procuments</v>
      </c>
      <c r="F106" s="1">
        <f>IFERROR(__xludf.DUMMYFUNCTION("""COMPUTED_VALUE"""),347)</f>
        <v>347</v>
      </c>
      <c r="G106" s="1" t="str">
        <f>IFERROR(__xludf.DUMMYFUNCTION("""COMPUTED_VALUE"""),"MULTI-TURN ELECTRIC ACTUATOR")</f>
        <v>MULTI-TURN ELECTRIC ACTUATOR</v>
      </c>
      <c r="H106" s="1">
        <f>IFERROR(__xludf.DUMMYFUNCTION("""COMPUTED_VALUE"""),1)</f>
        <v>1</v>
      </c>
      <c r="I106" s="1"/>
      <c r="J106" s="1">
        <f>IFERROR(__xludf.DUMMYFUNCTION("""COMPUTED_VALUE"""),0.34)</f>
        <v>0.34</v>
      </c>
      <c r="K106" s="1">
        <f>IFERROR(__xludf.DUMMYFUNCTION("""COMPUTED_VALUE"""),73)</f>
        <v>73</v>
      </c>
      <c r="L106" s="1" t="str">
        <f>IFERROR(__xludf.DUMMYFUNCTION("""COMPUTED_VALUE"""),"Yes")</f>
        <v>Yes</v>
      </c>
      <c r="M106" s="1" t="str">
        <f>IFERROR(__xludf.DUMMYFUNCTION("""COMPUTED_VALUE"""),"Yes")</f>
        <v>Yes</v>
      </c>
      <c r="N106" s="1" t="str">
        <f>IFERROR(__xludf.DUMMYFUNCTION("""COMPUTED_VALUE"""),"Poland")</f>
        <v>Poland</v>
      </c>
      <c r="O106" s="1" t="str">
        <f>IFERROR(__xludf.DUMMYFUNCTION("""COMPUTED_VALUE"""),"Warsaw")</f>
        <v>Warsaw</v>
      </c>
      <c r="P106" s="1" t="str">
        <f>IFERROR(__xludf.DUMMYFUNCTION("""COMPUTED_VALUE"""),"South Africa")</f>
        <v>South Africa</v>
      </c>
      <c r="Q106" s="1" t="str">
        <f>IFERROR(__xludf.DUMMYFUNCTION("""COMPUTED_VALUE"""),"Boksburg")</f>
        <v>Boksburg</v>
      </c>
      <c r="R106" s="1" t="str">
        <f>IFERROR(__xludf.DUMMYFUNCTION("""COMPUTED_VALUE"""),"Air")</f>
        <v>Air</v>
      </c>
      <c r="S106" s="1" t="str">
        <f>IFERROR(__xludf.DUMMYFUNCTION("""COMPUTED_VALUE"""),"EXW")</f>
        <v>EXW</v>
      </c>
      <c r="T106" s="1" t="str">
        <f>IFERROR(__xludf.DUMMYFUNCTION("""COMPUTED_VALUE"""),"POLINSKI AMT SP.Z.O.O")</f>
        <v>POLINSKI AMT SP.Z.O.O</v>
      </c>
      <c r="U106" s="1"/>
      <c r="V106" s="1"/>
      <c r="W106" s="1"/>
      <c r="X106" s="1"/>
      <c r="Y106" s="1"/>
    </row>
    <row r="107" customHeight="1" spans="1:25">
      <c r="A107" s="1" t="str">
        <f>IFERROR(__xludf.DUMMYFUNCTION("""COMPUTED_VALUE"""),"8XqRjCmsOPsE2VKNPcimJr")</f>
        <v>8XqRjCmsOPsE2VKNPcimJr</v>
      </c>
      <c r="B107" s="1">
        <f>IFERROR(__xludf.DUMMYFUNCTION("""COMPUTED_VALUE"""),106)</f>
        <v>106</v>
      </c>
      <c r="C107" s="1" t="str">
        <f>IFERROR(__xludf.DUMMYFUNCTION("""COMPUTED_VALUE"""),"DL106")</f>
        <v>DL106</v>
      </c>
      <c r="D107" s="2">
        <f>IFERROR(__xludf.DUMMYFUNCTION("""COMPUTED_VALUE"""),45304)</f>
        <v>45304</v>
      </c>
      <c r="E107" s="1" t="str">
        <f>IFERROR(__xludf.DUMMYFUNCTION("""COMPUTED_VALUE"""),"Jimmy Zinhumwe")</f>
        <v>Jimmy Zinhumwe</v>
      </c>
      <c r="F107" s="1">
        <f>IFERROR(__xludf.DUMMYFUNCTION("""COMPUTED_VALUE"""),376)</f>
        <v>376</v>
      </c>
      <c r="G107" s="1" t="str">
        <f>IFERROR(__xludf.DUMMYFUNCTION("""COMPUTED_VALUE"""),"Non Branded Clothes")</f>
        <v>Non Branded Clothes</v>
      </c>
      <c r="H107" s="1">
        <f>IFERROR(__xludf.DUMMYFUNCTION("""COMPUTED_VALUE"""),1)</f>
        <v>1</v>
      </c>
      <c r="I107" s="1"/>
      <c r="J107" s="1">
        <f>IFERROR(__xludf.DUMMYFUNCTION("""COMPUTED_VALUE"""),0.2)</f>
        <v>0.2</v>
      </c>
      <c r="K107" s="1">
        <f>IFERROR(__xludf.DUMMYFUNCTION("""COMPUTED_VALUE"""),24)</f>
        <v>24</v>
      </c>
      <c r="L107" s="1" t="str">
        <f>IFERROR(__xludf.DUMMYFUNCTION("""COMPUTED_VALUE"""),"Yes")</f>
        <v>Yes</v>
      </c>
      <c r="M107" s="1" t="str">
        <f>IFERROR(__xludf.DUMMYFUNCTION("""COMPUTED_VALUE"""),"Yes")</f>
        <v>Yes</v>
      </c>
      <c r="N107" s="1" t="str">
        <f>IFERROR(__xludf.DUMMYFUNCTION("""COMPUTED_VALUE"""),"China")</f>
        <v>China</v>
      </c>
      <c r="O107" s="1" t="str">
        <f>IFERROR(__xludf.DUMMYFUNCTION("""COMPUTED_VALUE"""),"Guangzhou")</f>
        <v>Guangzhou</v>
      </c>
      <c r="P107" s="1" t="str">
        <f>IFERROR(__xludf.DUMMYFUNCTION("""COMPUTED_VALUE"""),"South Africa")</f>
        <v>South Africa</v>
      </c>
      <c r="Q107" s="1" t="str">
        <f>IFERROR(__xludf.DUMMYFUNCTION("""COMPUTED_VALUE"""),"Kempton Park")</f>
        <v>Kempton Park</v>
      </c>
      <c r="R107" s="1" t="str">
        <f>IFERROR(__xludf.DUMMYFUNCTION("""COMPUTED_VALUE"""),"Sea")</f>
        <v>Sea</v>
      </c>
      <c r="S107" s="1" t="str">
        <f>IFERROR(__xludf.DUMMYFUNCTION("""COMPUTED_VALUE"""),"FCA")</f>
        <v>FCA</v>
      </c>
      <c r="T107" s="1" t="str">
        <f>IFERROR(__xludf.DUMMYFUNCTION("""COMPUTED_VALUE"""),"OBD LOGISTICS CO Ltd")</f>
        <v>OBD LOGISTICS CO Ltd</v>
      </c>
      <c r="U107" s="1"/>
      <c r="V107" s="1" t="str">
        <f>IFERROR(__xludf.DUMMYFUNCTION("""COMPUTED_VALUE"""),"obdsales6@obdlogistics.com")</f>
        <v>obdsales6@obdlogistics.com</v>
      </c>
      <c r="W107" s="1" t="str">
        <f>IFERROR(__xludf.DUMMYFUNCTION("""COMPUTED_VALUE"""),"+852 9177 9798")</f>
        <v>+852 9177 9798</v>
      </c>
      <c r="X107" s="1" t="str">
        <f>IFERROR(__xludf.DUMMYFUNCTION("""COMPUTED_VALUE"""),"NA")</f>
        <v>NA</v>
      </c>
      <c r="Y107" s="1"/>
    </row>
    <row r="108" customHeight="1" spans="1:25">
      <c r="A108" s="1" t="str">
        <f>IFERROR(__xludf.DUMMYFUNCTION("""COMPUTED_VALUE"""),"MVIvYmPlWfI3zt6FrkOdP0")</f>
        <v>MVIvYmPlWfI3zt6FrkOdP0</v>
      </c>
      <c r="B108" s="1">
        <f>IFERROR(__xludf.DUMMYFUNCTION("""COMPUTED_VALUE"""),107)</f>
        <v>107</v>
      </c>
      <c r="C108" s="1" t="str">
        <f>IFERROR(__xludf.DUMMYFUNCTION("""COMPUTED_VALUE"""),"DL107")</f>
        <v>DL107</v>
      </c>
      <c r="D108" s="2">
        <f>IFERROR(__xludf.DUMMYFUNCTION("""COMPUTED_VALUE"""),45303)</f>
        <v>45303</v>
      </c>
      <c r="E108" s="1" t="str">
        <f>IFERROR(__xludf.DUMMYFUNCTION("""COMPUTED_VALUE"""),"African Technopreneurs")</f>
        <v>African Technopreneurs</v>
      </c>
      <c r="F108" s="1">
        <f>IFERROR(__xludf.DUMMYFUNCTION("""COMPUTED_VALUE"""),157)</f>
        <v>157</v>
      </c>
      <c r="G108" s="1" t="str">
        <f>IFERROR(__xludf.DUMMYFUNCTION("""COMPUTED_VALUE"""),"Panoramic camera, Cold Shoe, Float Guard, Carry Case etc")</f>
        <v>Panoramic camera, Cold Shoe, Float Guard, Carry Case etc</v>
      </c>
      <c r="H108" s="1">
        <f>IFERROR(__xludf.DUMMYFUNCTION("""COMPUTED_VALUE"""),5)</f>
        <v>5</v>
      </c>
      <c r="I108" s="1"/>
      <c r="J108" s="1">
        <f>IFERROR(__xludf.DUMMYFUNCTION("""COMPUTED_VALUE"""),0.2)</f>
        <v>0.2</v>
      </c>
      <c r="K108" s="1">
        <f>IFERROR(__xludf.DUMMYFUNCTION("""COMPUTED_VALUE"""),32)</f>
        <v>32</v>
      </c>
      <c r="L108" s="1" t="str">
        <f>IFERROR(__xludf.DUMMYFUNCTION("""COMPUTED_VALUE"""),"Yes")</f>
        <v>Yes</v>
      </c>
      <c r="M108" s="1" t="str">
        <f>IFERROR(__xludf.DUMMYFUNCTION("""COMPUTED_VALUE"""),"Yes")</f>
        <v>Yes</v>
      </c>
      <c r="N108" s="1" t="str">
        <f>IFERROR(__xludf.DUMMYFUNCTION("""COMPUTED_VALUE"""),"China")</f>
        <v>China</v>
      </c>
      <c r="O108" s="1" t="str">
        <f>IFERROR(__xludf.DUMMYFUNCTION("""COMPUTED_VALUE"""),"Hong Kong")</f>
        <v>Hong Kong</v>
      </c>
      <c r="P108" s="1" t="str">
        <f>IFERROR(__xludf.DUMMYFUNCTION("""COMPUTED_VALUE"""),"South Africa")</f>
        <v>South Africa</v>
      </c>
      <c r="Q108" s="1" t="str">
        <f>IFERROR(__xludf.DUMMYFUNCTION("""COMPUTED_VALUE"""),"Johannesburg")</f>
        <v>Johannesburg</v>
      </c>
      <c r="R108" s="1" t="str">
        <f>IFERROR(__xludf.DUMMYFUNCTION("""COMPUTED_VALUE"""),"Air")</f>
        <v>Air</v>
      </c>
      <c r="S108" s="1" t="str">
        <f>IFERROR(__xludf.DUMMYFUNCTION("""COMPUTED_VALUE"""),"EXW")</f>
        <v>EXW</v>
      </c>
      <c r="T108" s="1" t="str">
        <f>IFERROR(__xludf.DUMMYFUNCTION("""COMPUTED_VALUE"""),"ISTONE INNOVATION LIMITED")</f>
        <v>ISTONE INNOVATION LIMITED</v>
      </c>
      <c r="U108" s="1" t="str">
        <f>IFERROR(__xludf.DUMMYFUNCTION("""COMPUTED_VALUE"""),"Unit 5, 6/F, Hang Wai Industrial Centre Block C, No 6 Kin Tai Road, Tuen Mun, New Territories, Hong Kong, China")</f>
        <v>Unit 5, 6/F, Hang Wai Industrial Centre Block C, No 6 Kin Tai Road, Tuen Mun, New Territories, Hong Kong, China</v>
      </c>
      <c r="V108" s="1"/>
      <c r="W108" s="1"/>
      <c r="X108" s="1"/>
      <c r="Y108" s="1"/>
    </row>
    <row r="109" customHeight="1" spans="1:25">
      <c r="A109" s="1" t="str">
        <f>IFERROR(__xludf.DUMMYFUNCTION("""COMPUTED_VALUE"""),"e8sd0h90TXhDbZ4MXafCPC")</f>
        <v>e8sd0h90TXhDbZ4MXafCPC</v>
      </c>
      <c r="B109" s="1">
        <f>IFERROR(__xludf.DUMMYFUNCTION("""COMPUTED_VALUE"""),108)</f>
        <v>108</v>
      </c>
      <c r="C109" s="1" t="str">
        <f>IFERROR(__xludf.DUMMYFUNCTION("""COMPUTED_VALUE"""),"DL108")</f>
        <v>DL108</v>
      </c>
      <c r="D109" s="2">
        <f>IFERROR(__xludf.DUMMYFUNCTION("""COMPUTED_VALUE"""),45350)</f>
        <v>45350</v>
      </c>
      <c r="E109" s="1" t="str">
        <f>IFERROR(__xludf.DUMMYFUNCTION("""COMPUTED_VALUE"""),"Shand Sermela")</f>
        <v>Shand Sermela</v>
      </c>
      <c r="F109" s="1">
        <f>IFERROR(__xludf.DUMMYFUNCTION("""COMPUTED_VALUE"""),375)</f>
        <v>375</v>
      </c>
      <c r="G109" s="1" t="str">
        <f>IFERROR(__xludf.DUMMYFUNCTION("""COMPUTED_VALUE"""),"Electronics")</f>
        <v>Electronics</v>
      </c>
      <c r="H109" s="1">
        <f>IFERROR(__xludf.DUMMYFUNCTION("""COMPUTED_VALUE"""),1)</f>
        <v>1</v>
      </c>
      <c r="I109" s="1"/>
      <c r="J109" s="1">
        <f>IFERROR(__xludf.DUMMYFUNCTION("""COMPUTED_VALUE"""),0.5)</f>
        <v>0.5</v>
      </c>
      <c r="K109" s="1">
        <f>IFERROR(__xludf.DUMMYFUNCTION("""COMPUTED_VALUE"""),194)</f>
        <v>194</v>
      </c>
      <c r="L109" s="1" t="str">
        <f>IFERROR(__xludf.DUMMYFUNCTION("""COMPUTED_VALUE"""),"Yes")</f>
        <v>Yes</v>
      </c>
      <c r="M109" s="1" t="str">
        <f>IFERROR(__xludf.DUMMYFUNCTION("""COMPUTED_VALUE"""),"Yes")</f>
        <v>Yes</v>
      </c>
      <c r="N109" s="1" t="str">
        <f>IFERROR(__xludf.DUMMYFUNCTION("""COMPUTED_VALUE"""),"China")</f>
        <v>China</v>
      </c>
      <c r="O109" s="1"/>
      <c r="P109" s="1" t="str">
        <f>IFERROR(__xludf.DUMMYFUNCTION("""COMPUTED_VALUE"""),"South Africa")</f>
        <v>South Africa</v>
      </c>
      <c r="Q109" s="1" t="str">
        <f>IFERROR(__xludf.DUMMYFUNCTION("""COMPUTED_VALUE"""),"Johannesburg")</f>
        <v>Johannesburg</v>
      </c>
      <c r="R109" s="1" t="str">
        <f>IFERROR(__xludf.DUMMYFUNCTION("""COMPUTED_VALUE"""),"Sea")</f>
        <v>Sea</v>
      </c>
      <c r="S109" s="1" t="str">
        <f>IFERROR(__xludf.DUMMYFUNCTION("""COMPUTED_VALUE"""),"EXW")</f>
        <v>EXW</v>
      </c>
      <c r="T109" s="1" t="str">
        <f>IFERROR(__xludf.DUMMYFUNCTION("""COMPUTED_VALUE"""),"Obd Logistics.Co.ltd")</f>
        <v>Obd Logistics.Co.ltd</v>
      </c>
      <c r="U109" s="1" t="str">
        <f>IFERROR(__xludf.DUMMYFUNCTION("""COMPUTED_VALUE"""),"Address: The first floor of Building 2, No. 6, Xinxing Yiheng Road, Baisha, Humen Town, Dongguan， Guangdong")</f>
        <v>Address: The first floor of Building 2, No. 6, Xinxing Yiheng Road, Baisha, Humen Town, Dongguan， Guangdong</v>
      </c>
      <c r="V109" s="1" t="str">
        <f>IFERROR(__xludf.DUMMYFUNCTION("""COMPUTED_VALUE"""),"obdsales6@obdlogistics.com")</f>
        <v>obdsales6@obdlogistics.com</v>
      </c>
      <c r="W109" s="1"/>
      <c r="X109" s="1"/>
      <c r="Y109" s="1"/>
    </row>
    <row r="110" customHeight="1" spans="1: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customHeight="1" spans="1:25">
      <c r="A111" s="1" t="str">
        <f>IFERROR(__xludf.DUMMYFUNCTION("""COMPUTED_VALUE"""),"PDp3603vfu0yc96x6kXqQ6")</f>
        <v>PDp3603vfu0yc96x6kXqQ6</v>
      </c>
      <c r="B111" s="1">
        <f>IFERROR(__xludf.DUMMYFUNCTION("""COMPUTED_VALUE"""),110)</f>
        <v>110</v>
      </c>
      <c r="C111" s="1" t="str">
        <f>IFERROR(__xludf.DUMMYFUNCTION("""COMPUTED_VALUE"""),"DL110")</f>
        <v>DL110</v>
      </c>
      <c r="D111" s="2">
        <f>IFERROR(__xludf.DUMMYFUNCTION("""COMPUTED_VALUE"""),45350)</f>
        <v>45350</v>
      </c>
      <c r="E111" s="1" t="str">
        <f>IFERROR(__xludf.DUMMYFUNCTION("""COMPUTED_VALUE"""),"Kaizen Automotive Engineering")</f>
        <v>Kaizen Automotive Engineering</v>
      </c>
      <c r="F111" s="1">
        <f>IFERROR(__xludf.DUMMYFUNCTION("""COMPUTED_VALUE"""),320)</f>
        <v>320</v>
      </c>
      <c r="G111" s="1" t="str">
        <f>IFERROR(__xludf.DUMMYFUNCTION("""COMPUTED_VALUE"""),"Plastic Basin Mold, Plastic Hanger Mold and Plastic Lunch Box Mold")</f>
        <v>Plastic Basin Mold, Plastic Hanger Mold and Plastic Lunch Box Mold</v>
      </c>
      <c r="H111" s="1">
        <f>IFERROR(__xludf.DUMMYFUNCTION("""COMPUTED_VALUE"""),4)</f>
        <v>4</v>
      </c>
      <c r="I111" s="1"/>
      <c r="J111" s="1">
        <f>IFERROR(__xludf.DUMMYFUNCTION("""COMPUTED_VALUE"""),2)</f>
        <v>2</v>
      </c>
      <c r="K111" s="1">
        <f>IFERROR(__xludf.DUMMYFUNCTION("""COMPUTED_VALUE"""),1847)</f>
        <v>1847</v>
      </c>
      <c r="L111" s="1" t="str">
        <f>IFERROR(__xludf.DUMMYFUNCTION("""COMPUTED_VALUE"""),"Yes")</f>
        <v>Yes</v>
      </c>
      <c r="M111" s="1" t="str">
        <f>IFERROR(__xludf.DUMMYFUNCTION("""COMPUTED_VALUE"""),"Yes")</f>
        <v>Yes</v>
      </c>
      <c r="N111" s="1" t="str">
        <f>IFERROR(__xludf.DUMMYFUNCTION("""COMPUTED_VALUE"""),"China")</f>
        <v>China</v>
      </c>
      <c r="O111" s="1" t="str">
        <f>IFERROR(__xludf.DUMMYFUNCTION("""COMPUTED_VALUE"""),"Taizhou City")</f>
        <v>Taizhou City</v>
      </c>
      <c r="P111" s="1" t="str">
        <f>IFERROR(__xludf.DUMMYFUNCTION("""COMPUTED_VALUE"""),"South Africa")</f>
        <v>South Africa</v>
      </c>
      <c r="Q111" s="1" t="str">
        <f>IFERROR(__xludf.DUMMYFUNCTION("""COMPUTED_VALUE"""),"Pretoria")</f>
        <v>Pretoria</v>
      </c>
      <c r="R111" s="1" t="str">
        <f>IFERROR(__xludf.DUMMYFUNCTION("""COMPUTED_VALUE"""),"Sea")</f>
        <v>Sea</v>
      </c>
      <c r="S111" s="1" t="str">
        <f>IFERROR(__xludf.DUMMYFUNCTION("""COMPUTED_VALUE"""),"FCA")</f>
        <v>FCA</v>
      </c>
      <c r="T111" s="1" t="str">
        <f>IFERROR(__xludf.DUMMYFUNCTION("""COMPUTED_VALUE"""),"Rosemary")</f>
        <v>Rosemary</v>
      </c>
      <c r="U111" s="1" t="str">
        <f>IFERROR(__xludf.DUMMYFUNCTION("""COMPUTED_VALUE"""),"25, Huimin Road, Beicheng Industrial Zone, Huangyan district,")</f>
        <v>25, Huimin Road, Beicheng Industrial Zone, Huangyan district,</v>
      </c>
      <c r="V111" s="1"/>
      <c r="W111" s="1" t="str">
        <f>IFERROR(__xludf.DUMMYFUNCTION("""COMPUTED_VALUE"""),"+86-18906545152")</f>
        <v>+86-18906545152</v>
      </c>
      <c r="X111" s="1"/>
      <c r="Y111" s="1"/>
    </row>
    <row r="112" customHeight="1" spans="1:25">
      <c r="A112" s="1" t="str">
        <f>IFERROR(__xludf.DUMMYFUNCTION("""COMPUTED_VALUE"""),"nsiF6ydYGWkoBxoKw2PnhF")</f>
        <v>nsiF6ydYGWkoBxoKw2PnhF</v>
      </c>
      <c r="B112" s="1">
        <f>IFERROR(__xludf.DUMMYFUNCTION("""COMPUTED_VALUE"""),111)</f>
        <v>111</v>
      </c>
      <c r="C112" s="1" t="str">
        <f>IFERROR(__xludf.DUMMYFUNCTION("""COMPUTED_VALUE"""),"DL111")</f>
        <v>DL111</v>
      </c>
      <c r="D112" s="2">
        <f>IFERROR(__xludf.DUMMYFUNCTION("""COMPUTED_VALUE"""),45302)</f>
        <v>45302</v>
      </c>
      <c r="E112" s="1" t="str">
        <f>IFERROR(__xludf.DUMMYFUNCTION("""COMPUTED_VALUE"""),"African Technopreneurs")</f>
        <v>African Technopreneurs</v>
      </c>
      <c r="F112" s="1">
        <f>IFERROR(__xludf.DUMMYFUNCTION("""COMPUTED_VALUE"""),157)</f>
        <v>157</v>
      </c>
      <c r="G112" s="1" t="str">
        <f>IFERROR(__xludf.DUMMYFUNCTION("""COMPUTED_VALUE"""),"Amazon Returns")</f>
        <v>Amazon Returns</v>
      </c>
      <c r="H112" s="1">
        <f>IFERROR(__xludf.DUMMYFUNCTION("""COMPUTED_VALUE"""),5)</f>
        <v>5</v>
      </c>
      <c r="I112" s="1"/>
      <c r="J112" s="1">
        <f>IFERROR(__xludf.DUMMYFUNCTION("""COMPUTED_VALUE"""),0.13)</f>
        <v>0.13</v>
      </c>
      <c r="K112" s="1">
        <f>IFERROR(__xludf.DUMMYFUNCTION("""COMPUTED_VALUE"""),34)</f>
        <v>34</v>
      </c>
      <c r="L112" s="1" t="str">
        <f>IFERROR(__xludf.DUMMYFUNCTION("""COMPUTED_VALUE"""),"Yes")</f>
        <v>Yes</v>
      </c>
      <c r="M112" s="1" t="str">
        <f>IFERROR(__xludf.DUMMYFUNCTION("""COMPUTED_VALUE"""),"Yes")</f>
        <v>Yes</v>
      </c>
      <c r="N112" s="1" t="str">
        <f>IFERROR(__xludf.DUMMYFUNCTION("""COMPUTED_VALUE"""),"South Africa")</f>
        <v>South Africa</v>
      </c>
      <c r="O112" s="1" t="str">
        <f>IFERROR(__xludf.DUMMYFUNCTION("""COMPUTED_VALUE"""),"Centurion, Johannesburg")</f>
        <v>Centurion, Johannesburg</v>
      </c>
      <c r="P112" s="1" t="str">
        <f>IFERROR(__xludf.DUMMYFUNCTION("""COMPUTED_VALUE"""),"United States Of America")</f>
        <v>United States Of America</v>
      </c>
      <c r="Q112" s="1" t="str">
        <f>IFERROR(__xludf.DUMMYFUNCTION("""COMPUTED_VALUE"""),"Las Vegas")</f>
        <v>Las Vegas</v>
      </c>
      <c r="R112" s="1" t="str">
        <f>IFERROR(__xludf.DUMMYFUNCTION("""COMPUTED_VALUE"""),"Air")</f>
        <v>Air</v>
      </c>
      <c r="S112" s="1" t="str">
        <f>IFERROR(__xludf.DUMMYFUNCTION("""COMPUTED_VALUE"""),"EXW")</f>
        <v>EXW</v>
      </c>
      <c r="T112" s="1"/>
      <c r="U112" s="1"/>
      <c r="V112" s="1"/>
      <c r="W112" s="1"/>
      <c r="X112" s="1"/>
      <c r="Y112" s="1"/>
    </row>
    <row r="113" customHeight="1" spans="1:25">
      <c r="A113" s="1" t="str">
        <f>IFERROR(__xludf.DUMMYFUNCTION("""COMPUTED_VALUE"""),"Md22m8uxMwP8489mMci8jH")</f>
        <v>Md22m8uxMwP8489mMci8jH</v>
      </c>
      <c r="B113" s="1">
        <f>IFERROR(__xludf.DUMMYFUNCTION("""COMPUTED_VALUE"""),112)</f>
        <v>112</v>
      </c>
      <c r="C113" s="1" t="str">
        <f>IFERROR(__xludf.DUMMYFUNCTION("""COMPUTED_VALUE"""),"DL112")</f>
        <v>DL112</v>
      </c>
      <c r="D113" s="2">
        <f>IFERROR(__xludf.DUMMYFUNCTION("""COMPUTED_VALUE"""),45320)</f>
        <v>45320</v>
      </c>
      <c r="E113" s="1" t="str">
        <f>IFERROR(__xludf.DUMMYFUNCTION("""COMPUTED_VALUE"""),"Filter Industries")</f>
        <v>Filter Industries</v>
      </c>
      <c r="F113" s="1">
        <f>IFERROR(__xludf.DUMMYFUNCTION("""COMPUTED_VALUE"""),235)</f>
        <v>235</v>
      </c>
      <c r="G113" s="1" t="str">
        <f>IFERROR(__xludf.DUMMYFUNCTION("""COMPUTED_VALUE"""),"Compressor Parts and Manual Staker")</f>
        <v>Compressor Parts and Manual Staker</v>
      </c>
      <c r="H113" s="1">
        <f>IFERROR(__xludf.DUMMYFUNCTION("""COMPUTED_VALUE"""),114)</f>
        <v>114</v>
      </c>
      <c r="I113" s="1"/>
      <c r="J113" s="1">
        <f>IFERROR(__xludf.DUMMYFUNCTION("""COMPUTED_VALUE"""),21)</f>
        <v>21</v>
      </c>
      <c r="K113" s="1">
        <f>IFERROR(__xludf.DUMMYFUNCTION("""COMPUTED_VALUE"""),1866)</f>
        <v>1866</v>
      </c>
      <c r="L113" s="1" t="str">
        <f>IFERROR(__xludf.DUMMYFUNCTION("""COMPUTED_VALUE"""),"Yes")</f>
        <v>Yes</v>
      </c>
      <c r="M113" s="1" t="str">
        <f>IFERROR(__xludf.DUMMYFUNCTION("""COMPUTED_VALUE"""),"Yes")</f>
        <v>Yes</v>
      </c>
      <c r="N113" s="1" t="str">
        <f>IFERROR(__xludf.DUMMYFUNCTION("""COMPUTED_VALUE"""),"China")</f>
        <v>China</v>
      </c>
      <c r="O113" s="1"/>
      <c r="P113" s="1"/>
      <c r="Q113" s="1"/>
      <c r="R113" s="1" t="str">
        <f>IFERROR(__xludf.DUMMYFUNCTION("""COMPUTED_VALUE"""),"Sea")</f>
        <v>Sea</v>
      </c>
      <c r="S113" s="1" t="str">
        <f>IFERROR(__xludf.DUMMYFUNCTION("""COMPUTED_VALUE"""),"FOB")</f>
        <v>FOB</v>
      </c>
      <c r="T113" s="1"/>
      <c r="U113" s="1"/>
      <c r="V113" s="1"/>
      <c r="W113" s="1"/>
      <c r="X113" s="1"/>
      <c r="Y113" s="1"/>
    </row>
    <row r="114" customHeight="1" spans="1:25">
      <c r="A114" s="1" t="str">
        <f>IFERROR(__xludf.DUMMYFUNCTION("""COMPUTED_VALUE"""),"dVttRkngm6I7kCU0GMmFO8")</f>
        <v>dVttRkngm6I7kCU0GMmFO8</v>
      </c>
      <c r="B114" s="1">
        <f>IFERROR(__xludf.DUMMYFUNCTION("""COMPUTED_VALUE"""),113)</f>
        <v>113</v>
      </c>
      <c r="C114" s="1" t="str">
        <f>IFERROR(__xludf.DUMMYFUNCTION("""COMPUTED_VALUE"""),"DL113")</f>
        <v>DL113</v>
      </c>
      <c r="D114" s="2">
        <f>IFERROR(__xludf.DUMMYFUNCTION("""COMPUTED_VALUE"""),45321)</f>
        <v>45321</v>
      </c>
      <c r="E114" s="1" t="str">
        <f>IFERROR(__xludf.DUMMYFUNCTION("""COMPUTED_VALUE"""),"Prindel Govendor")</f>
        <v>Prindel Govendor</v>
      </c>
      <c r="F114" s="1">
        <f>IFERROR(__xludf.DUMMYFUNCTION("""COMPUTED_VALUE"""),175)</f>
        <v>175</v>
      </c>
      <c r="G114" s="1" t="str">
        <f>IFERROR(__xludf.DUMMYFUNCTION("""COMPUTED_VALUE"""),"Corona Treaters, Programmable Logic Controllers, Variable Speed Drives, Web Guide Controllers, Stainless Steel Enclosures,")</f>
        <v>Corona Treaters, Programmable Logic Controllers, Variable Speed Drives, Web Guide Controllers, Stainless Steel Enclosures,</v>
      </c>
      <c r="H114" s="1">
        <f>IFERROR(__xludf.DUMMYFUNCTION("""COMPUTED_VALUE"""),15)</f>
        <v>15</v>
      </c>
      <c r="I114" s="1"/>
      <c r="J114" s="1">
        <f>IFERROR(__xludf.DUMMYFUNCTION("""COMPUTED_VALUE"""),1.41)</f>
        <v>1.41</v>
      </c>
      <c r="K114" s="1">
        <f>IFERROR(__xludf.DUMMYFUNCTION("""COMPUTED_VALUE"""),240)</f>
        <v>240</v>
      </c>
      <c r="L114" s="1" t="str">
        <f>IFERROR(__xludf.DUMMYFUNCTION("""COMPUTED_VALUE"""),"Yes")</f>
        <v>Yes</v>
      </c>
      <c r="M114" s="1" t="str">
        <f>IFERROR(__xludf.DUMMYFUNCTION("""COMPUTED_VALUE"""),"Yes")</f>
        <v>Yes</v>
      </c>
      <c r="N114" s="1" t="str">
        <f>IFERROR(__xludf.DUMMYFUNCTION("""COMPUTED_VALUE"""),"China")</f>
        <v>China</v>
      </c>
      <c r="O114" s="1"/>
      <c r="P114" s="1" t="str">
        <f>IFERROR(__xludf.DUMMYFUNCTION("""COMPUTED_VALUE"""),"South Africa")</f>
        <v>South Africa</v>
      </c>
      <c r="Q114" s="1" t="str">
        <f>IFERROR(__xludf.DUMMYFUNCTION("""COMPUTED_VALUE"""),"Durban")</f>
        <v>Durban</v>
      </c>
      <c r="R114" s="1" t="str">
        <f>IFERROR(__xludf.DUMMYFUNCTION("""COMPUTED_VALUE"""),"Sea")</f>
        <v>Sea</v>
      </c>
      <c r="S114" s="1" t="str">
        <f>IFERROR(__xludf.DUMMYFUNCTION("""COMPUTED_VALUE"""),"FCA")</f>
        <v>FCA</v>
      </c>
      <c r="T114" s="1" t="str">
        <f>IFERROR(__xludf.DUMMYFUNCTION("""COMPUTED_VALUE"""),"OBD LOGISTICS CO LTD")</f>
        <v>OBD LOGISTICS CO LTD</v>
      </c>
      <c r="U114" s="1" t="str">
        <f>IFERROR(__xludf.DUMMYFUNCTION("""COMPUTED_VALUE"""),"first floor of Building 2, No. 6, Xinxing Yiheng Road, Baisha, Humen Town, Dongguan, Guangdong 23DL90AIS580 China")</f>
        <v>first floor of Building 2, No. 6, Xinxing Yiheng Road, Baisha, Humen Town, Dongguan, Guangdong 23DL90AIS580 China</v>
      </c>
      <c r="V114" s="1" t="str">
        <f>IFERROR(__xludf.DUMMYFUNCTION("""COMPUTED_VALUE"""),"obdsales6@obdlogistics.com")</f>
        <v>obdsales6@obdlogistics.com</v>
      </c>
      <c r="W114" s="1"/>
      <c r="X114" s="1"/>
      <c r="Y114" s="1"/>
    </row>
    <row r="115" customHeight="1" spans="1: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customHeight="1" spans="1:25">
      <c r="A116" s="1" t="str">
        <f>IFERROR(__xludf.DUMMYFUNCTION("""COMPUTED_VALUE"""),"KjrWNvetNQ4CJyrv4Vj4vl")</f>
        <v>KjrWNvetNQ4CJyrv4Vj4vl</v>
      </c>
      <c r="B116" s="1">
        <f>IFERROR(__xludf.DUMMYFUNCTION("""COMPUTED_VALUE"""),115)</f>
        <v>115</v>
      </c>
      <c r="C116" s="1" t="str">
        <f>IFERROR(__xludf.DUMMYFUNCTION("""COMPUTED_VALUE"""),"DL115")</f>
        <v>DL115</v>
      </c>
      <c r="D116" s="2">
        <f>IFERROR(__xludf.DUMMYFUNCTION("""COMPUTED_VALUE"""),45314)</f>
        <v>45314</v>
      </c>
      <c r="E116" s="1" t="str">
        <f>IFERROR(__xludf.DUMMYFUNCTION("""COMPUTED_VALUE"""),"VYKON (PTY) LTD")</f>
        <v>VYKON (PTY) LTD</v>
      </c>
      <c r="F116" s="1">
        <f>IFERROR(__xludf.DUMMYFUNCTION("""COMPUTED_VALUE"""),36)</f>
        <v>36</v>
      </c>
      <c r="G116" s="1" t="str">
        <f>IFERROR(__xludf.DUMMYFUNCTION("""COMPUTED_VALUE"""),"Steel Tubes")</f>
        <v>Steel Tubes</v>
      </c>
      <c r="H116" s="1">
        <f>IFERROR(__xludf.DUMMYFUNCTION("""COMPUTED_VALUE"""),2)</f>
        <v>2</v>
      </c>
      <c r="I116" s="1"/>
      <c r="J116" s="1">
        <f>IFERROR(__xludf.DUMMYFUNCTION("""COMPUTED_VALUE"""),0.5)</f>
        <v>0.5</v>
      </c>
      <c r="K116" s="1">
        <f>IFERROR(__xludf.DUMMYFUNCTION("""COMPUTED_VALUE"""),200)</f>
        <v>200</v>
      </c>
      <c r="L116" s="1" t="str">
        <f>IFERROR(__xludf.DUMMYFUNCTION("""COMPUTED_VALUE"""),"Yes")</f>
        <v>Yes</v>
      </c>
      <c r="M116" s="1" t="str">
        <f>IFERROR(__xludf.DUMMYFUNCTION("""COMPUTED_VALUE"""),"Yes")</f>
        <v>Yes</v>
      </c>
      <c r="N116" s="1" t="str">
        <f>IFERROR(__xludf.DUMMYFUNCTION("""COMPUTED_VALUE"""),"China")</f>
        <v>China</v>
      </c>
      <c r="O116" s="1" t="str">
        <f>IFERROR(__xludf.DUMMYFUNCTION("""COMPUTED_VALUE"""),"Guangzhou")</f>
        <v>Guangzhou</v>
      </c>
      <c r="P116" s="1" t="str">
        <f>IFERROR(__xludf.DUMMYFUNCTION("""COMPUTED_VALUE"""),"South Africa")</f>
        <v>South Africa</v>
      </c>
      <c r="Q116" s="1" t="str">
        <f>IFERROR(__xludf.DUMMYFUNCTION("""COMPUTED_VALUE"""),"Durban")</f>
        <v>Durban</v>
      </c>
      <c r="R116" s="1" t="str">
        <f>IFERROR(__xludf.DUMMYFUNCTION("""COMPUTED_VALUE"""),"Sea")</f>
        <v>Sea</v>
      </c>
      <c r="S116" s="1" t="str">
        <f>IFERROR(__xludf.DUMMYFUNCTION("""COMPUTED_VALUE"""),"FCA")</f>
        <v>FCA</v>
      </c>
      <c r="T116" s="1" t="str">
        <f>IFERROR(__xludf.DUMMYFUNCTION("""COMPUTED_VALUE"""),"OBD LOGISTICS CO LTD")</f>
        <v>OBD LOGISTICS CO LTD</v>
      </c>
      <c r="U116" s="1"/>
      <c r="V116" s="1" t="str">
        <f>IFERROR(__xludf.DUMMYFUNCTION("""COMPUTED_VALUE"""),"obdsales6@obdlogistics.com")</f>
        <v>obdsales6@obdlogistics.com</v>
      </c>
      <c r="W116" s="1"/>
      <c r="X116" s="1"/>
      <c r="Y116" s="1"/>
    </row>
    <row r="117" customHeight="1" spans="1: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customHeight="1" spans="1:25">
      <c r="A118" s="1" t="str">
        <f>IFERROR(__xludf.DUMMYFUNCTION("""COMPUTED_VALUE"""),"RgnAs9xLRksoWa4ya59MxM")</f>
        <v>RgnAs9xLRksoWa4ya59MxM</v>
      </c>
      <c r="B118" s="1">
        <f>IFERROR(__xludf.DUMMYFUNCTION("""COMPUTED_VALUE"""),117)</f>
        <v>117</v>
      </c>
      <c r="C118" s="1" t="str">
        <f>IFERROR(__xludf.DUMMYFUNCTION("""COMPUTED_VALUE"""),"DL117")</f>
        <v>DL117</v>
      </c>
      <c r="D118" s="2">
        <f>IFERROR(__xludf.DUMMYFUNCTION("""COMPUTED_VALUE"""),45347)</f>
        <v>45347</v>
      </c>
      <c r="E118" s="1" t="str">
        <f>IFERROR(__xludf.DUMMYFUNCTION("""COMPUTED_VALUE"""),"Sithembe Procuments")</f>
        <v>Sithembe Procuments</v>
      </c>
      <c r="F118" s="1">
        <f>IFERROR(__xludf.DUMMYFUNCTION("""COMPUTED_VALUE"""),347)</f>
        <v>347</v>
      </c>
      <c r="G118" s="1" t="str">
        <f>IFERROR(__xludf.DUMMYFUNCTION("""COMPUTED_VALUE"""),"Self Contained Breathing Apparatus")</f>
        <v>Self Contained Breathing Apparatus</v>
      </c>
      <c r="H118" s="1">
        <f>IFERROR(__xludf.DUMMYFUNCTION("""COMPUTED_VALUE"""),15)</f>
        <v>15</v>
      </c>
      <c r="I118" s="1"/>
      <c r="J118" s="1">
        <f>IFERROR(__xludf.DUMMYFUNCTION("""COMPUTED_VALUE"""),2.29)</f>
        <v>2.29</v>
      </c>
      <c r="K118" s="1">
        <f>IFERROR(__xludf.DUMMYFUNCTION("""COMPUTED_VALUE"""),382)</f>
        <v>382</v>
      </c>
      <c r="L118" s="1" t="str">
        <f>IFERROR(__xludf.DUMMYFUNCTION("""COMPUTED_VALUE"""),"Yes")</f>
        <v>Yes</v>
      </c>
      <c r="M118" s="1" t="str">
        <f>IFERROR(__xludf.DUMMYFUNCTION("""COMPUTED_VALUE"""),"Yes")</f>
        <v>Yes</v>
      </c>
      <c r="N118" s="1" t="str">
        <f>IFERROR(__xludf.DUMMYFUNCTION("""COMPUTED_VALUE"""),"China")</f>
        <v>China</v>
      </c>
      <c r="O118" s="1" t="str">
        <f>IFERROR(__xludf.DUMMYFUNCTION("""COMPUTED_VALUE"""),"Beijing")</f>
        <v>Beijing</v>
      </c>
      <c r="P118" s="1" t="str">
        <f>IFERROR(__xludf.DUMMYFUNCTION("""COMPUTED_VALUE"""),"South Africa")</f>
        <v>South Africa</v>
      </c>
      <c r="Q118" s="1" t="str">
        <f>IFERROR(__xludf.DUMMYFUNCTION("""COMPUTED_VALUE"""),"Johannesburg")</f>
        <v>Johannesburg</v>
      </c>
      <c r="R118" s="1" t="str">
        <f>IFERROR(__xludf.DUMMYFUNCTION("""COMPUTED_VALUE"""),"Air")</f>
        <v>Air</v>
      </c>
      <c r="S118" s="1" t="str">
        <f>IFERROR(__xludf.DUMMYFUNCTION("""COMPUTED_VALUE"""),"EXW")</f>
        <v>EXW</v>
      </c>
      <c r="T118" s="1" t="str">
        <f>IFERROR(__xludf.DUMMYFUNCTION("""COMPUTED_VALUE"""),"BEIJING TOPSKY INTELLIGENT EQUIPMENT GROUP CO., LTD")</f>
        <v>BEIJING TOPSKY INTELLIGENT EQUIPMENT GROUP CO., LTD</v>
      </c>
      <c r="U118" s="1" t="str">
        <f>IFERROR(__xludf.DUMMYFUNCTION("""COMPUTED_VALUE"""),"ADD:10B NO.17 HuanKe Middle Road Jin Qiao Ind ustry Base Tongzhou District Beijing China 101102")</f>
        <v>ADD:10B NO.17 HuanKe Middle Road Jin Qiao Ind ustry Base Tongzhou District Beijing China 101102</v>
      </c>
      <c r="V118" s="1"/>
      <c r="W118" s="1" t="str">
        <f>IFERROR(__xludf.DUMMYFUNCTION("""COMPUTED_VALUE"""),"+86013683015302")</f>
        <v>+86013683015302</v>
      </c>
      <c r="X118" s="1"/>
      <c r="Y118" s="1"/>
    </row>
    <row r="119" customHeight="1" spans="1: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customHeight="1" spans="1: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customHeight="1" spans="1:25">
      <c r="A121" s="1" t="str">
        <f>IFERROR(__xludf.DUMMYFUNCTION("""COMPUTED_VALUE"""),"n56E9UfBycAUoeI4D5Ld94")</f>
        <v>n56E9UfBycAUoeI4D5Ld94</v>
      </c>
      <c r="B121" s="1">
        <f>IFERROR(__xludf.DUMMYFUNCTION("""COMPUTED_VALUE"""),120)</f>
        <v>120</v>
      </c>
      <c r="C121" s="1" t="str">
        <f>IFERROR(__xludf.DUMMYFUNCTION("""COMPUTED_VALUE"""),"DL120")</f>
        <v>DL120</v>
      </c>
      <c r="D121" s="2">
        <f>IFERROR(__xludf.DUMMYFUNCTION("""COMPUTED_VALUE"""),45343)</f>
        <v>45343</v>
      </c>
      <c r="E121" s="1" t="str">
        <f>IFERROR(__xludf.DUMMYFUNCTION("""COMPUTED_VALUE"""),"Thabo Khorombi")</f>
        <v>Thabo Khorombi</v>
      </c>
      <c r="F121" s="1">
        <f>IFERROR(__xludf.DUMMYFUNCTION("""COMPUTED_VALUE"""),154)</f>
        <v>154</v>
      </c>
      <c r="G121" s="1" t="str">
        <f>IFERROR(__xludf.DUMMYFUNCTION("""COMPUTED_VALUE"""),"Ceiling Fans")</f>
        <v>Ceiling Fans</v>
      </c>
      <c r="H121" s="1">
        <f>IFERROR(__xludf.DUMMYFUNCTION("""COMPUTED_VALUE"""),25)</f>
        <v>25</v>
      </c>
      <c r="I121" s="1"/>
      <c r="J121" s="1">
        <f>IFERROR(__xludf.DUMMYFUNCTION("""COMPUTED_VALUE"""),2)</f>
        <v>2</v>
      </c>
      <c r="K121" s="1">
        <f>IFERROR(__xludf.DUMMYFUNCTION("""COMPUTED_VALUE"""),234)</f>
        <v>234</v>
      </c>
      <c r="L121" s="1" t="str">
        <f>IFERROR(__xludf.DUMMYFUNCTION("""COMPUTED_VALUE"""),"Yes")</f>
        <v>Yes</v>
      </c>
      <c r="M121" s="1" t="str">
        <f>IFERROR(__xludf.DUMMYFUNCTION("""COMPUTED_VALUE"""),"Yes")</f>
        <v>Yes</v>
      </c>
      <c r="N121" s="1" t="str">
        <f>IFERROR(__xludf.DUMMYFUNCTION("""COMPUTED_VALUE"""),"China")</f>
        <v>China</v>
      </c>
      <c r="O121" s="1"/>
      <c r="P121" s="1" t="str">
        <f>IFERROR(__xludf.DUMMYFUNCTION("""COMPUTED_VALUE"""),"South Africa")</f>
        <v>South Africa</v>
      </c>
      <c r="Q121" s="1"/>
      <c r="R121" s="1" t="str">
        <f>IFERROR(__xludf.DUMMYFUNCTION("""COMPUTED_VALUE"""),"Sea")</f>
        <v>Sea</v>
      </c>
      <c r="S121" s="1" t="str">
        <f>IFERROR(__xludf.DUMMYFUNCTION("""COMPUTED_VALUE"""),"FCA")</f>
        <v>FCA</v>
      </c>
      <c r="T121" s="1"/>
      <c r="U121" s="1"/>
      <c r="V121" s="1"/>
      <c r="W121" s="1"/>
      <c r="X121" s="1"/>
      <c r="Y121" s="1"/>
    </row>
    <row r="122" customHeight="1" spans="1:25">
      <c r="A122" s="1" t="str">
        <f>IFERROR(__xludf.DUMMYFUNCTION("""COMPUTED_VALUE"""),"tl9F7O2yVr65yXmFZwGZwg")</f>
        <v>tl9F7O2yVr65yXmFZwGZwg</v>
      </c>
      <c r="B122" s="1">
        <f>IFERROR(__xludf.DUMMYFUNCTION("""COMPUTED_VALUE"""),121)</f>
        <v>121</v>
      </c>
      <c r="C122" s="1" t="str">
        <f>IFERROR(__xludf.DUMMYFUNCTION("""COMPUTED_VALUE"""),"DL121")</f>
        <v>DL121</v>
      </c>
      <c r="D122" s="2">
        <f>IFERROR(__xludf.DUMMYFUNCTION("""COMPUTED_VALUE"""),45351)</f>
        <v>45351</v>
      </c>
      <c r="E122" s="1" t="str">
        <f>IFERROR(__xludf.DUMMYFUNCTION("""COMPUTED_VALUE"""),"Yaasir Mohamed")</f>
        <v>Yaasir Mohamed</v>
      </c>
      <c r="F122" s="1">
        <f>IFERROR(__xludf.DUMMYFUNCTION("""COMPUTED_VALUE"""),282)</f>
        <v>282</v>
      </c>
      <c r="G122" s="1" t="str">
        <f>IFERROR(__xludf.DUMMYFUNCTION("""COMPUTED_VALUE"""),"Briquette Machine")</f>
        <v>Briquette Machine</v>
      </c>
      <c r="H122" s="1">
        <f>IFERROR(__xludf.DUMMYFUNCTION("""COMPUTED_VALUE"""),1)</f>
        <v>1</v>
      </c>
      <c r="I122" s="1"/>
      <c r="J122" s="1">
        <f>IFERROR(__xludf.DUMMYFUNCTION("""COMPUTED_VALUE"""),3)</f>
        <v>3</v>
      </c>
      <c r="K122" s="1">
        <f>IFERROR(__xludf.DUMMYFUNCTION("""COMPUTED_VALUE"""),800)</f>
        <v>800</v>
      </c>
      <c r="L122" s="1" t="str">
        <f>IFERROR(__xludf.DUMMYFUNCTION("""COMPUTED_VALUE"""),"Yes")</f>
        <v>Yes</v>
      </c>
      <c r="M122" s="1" t="str">
        <f>IFERROR(__xludf.DUMMYFUNCTION("""COMPUTED_VALUE"""),"Yes")</f>
        <v>Yes</v>
      </c>
      <c r="N122" s="1" t="str">
        <f>IFERROR(__xludf.DUMMYFUNCTION("""COMPUTED_VALUE"""),"China")</f>
        <v>China</v>
      </c>
      <c r="O122" s="1"/>
      <c r="P122" s="1" t="str">
        <f>IFERROR(__xludf.DUMMYFUNCTION("""COMPUTED_VALUE"""),"South Africa")</f>
        <v>South Africa</v>
      </c>
      <c r="Q122" s="1"/>
      <c r="R122" s="1" t="str">
        <f>IFERROR(__xludf.DUMMYFUNCTION("""COMPUTED_VALUE"""),"Sea")</f>
        <v>Sea</v>
      </c>
      <c r="S122" s="1" t="str">
        <f>IFERROR(__xludf.DUMMYFUNCTION("""COMPUTED_VALUE"""),"EXW")</f>
        <v>EXW</v>
      </c>
      <c r="T122" s="1" t="str">
        <f>IFERROR(__xludf.DUMMYFUNCTION("""COMPUTED_VALUE"""),"OBD LOGISTICS CO LTD")</f>
        <v>OBD LOGISTICS CO LTD</v>
      </c>
      <c r="U122" s="1" t="str">
        <f>IFERROR(__xludf.DUMMYFUNCTION("""COMPUTED_VALUE"""),"Building 2, No. 6, Xinxing Yiheng Road, Baisha, Humen Town Guangdong, Donguang,China")</f>
        <v>Building 2, No. 6, Xinxing Yiheng Road, Baisha, Humen Town Guangdong, Donguang,China</v>
      </c>
      <c r="V122" s="1" t="str">
        <f>IFERROR(__xludf.DUMMYFUNCTION("""COMPUTED_VALUE"""),"obdsales6@obdlogistics.com")</f>
        <v>obdsales6@obdlogistics.com</v>
      </c>
      <c r="W122" s="1"/>
      <c r="X122" s="1"/>
      <c r="Y122" s="1"/>
    </row>
    <row r="123" customHeight="1" spans="1:25">
      <c r="A123" s="1" t="str">
        <f>IFERROR(__xludf.DUMMYFUNCTION("""COMPUTED_VALUE"""),"4PoZE9FahGxFHH4nsuGYnu")</f>
        <v>4PoZE9FahGxFHH4nsuGYnu</v>
      </c>
      <c r="B123" s="1">
        <f>IFERROR(__xludf.DUMMYFUNCTION("""COMPUTED_VALUE"""),122)</f>
        <v>122</v>
      </c>
      <c r="C123" s="1" t="str">
        <f>IFERROR(__xludf.DUMMYFUNCTION("""COMPUTED_VALUE"""),"DL122")</f>
        <v>DL122</v>
      </c>
      <c r="D123" s="2">
        <f>IFERROR(__xludf.DUMMYFUNCTION("""COMPUTED_VALUE"""),45356)</f>
        <v>45356</v>
      </c>
      <c r="E123" s="1" t="str">
        <f>IFERROR(__xludf.DUMMYFUNCTION("""COMPUTED_VALUE"""),"African Technopreneurs")</f>
        <v>African Technopreneurs</v>
      </c>
      <c r="F123" s="1">
        <f>IFERROR(__xludf.DUMMYFUNCTION("""COMPUTED_VALUE"""),157)</f>
        <v>157</v>
      </c>
      <c r="G123" s="1" t="str">
        <f>IFERROR(__xludf.DUMMYFUNCTION("""COMPUTED_VALUE"""),"Stands")</f>
        <v>Stands</v>
      </c>
      <c r="H123" s="1">
        <f>IFERROR(__xludf.DUMMYFUNCTION("""COMPUTED_VALUE"""),2)</f>
        <v>2</v>
      </c>
      <c r="I123" s="1"/>
      <c r="J123" s="1">
        <f>IFERROR(__xludf.DUMMYFUNCTION("""COMPUTED_VALUE"""),1.47)</f>
        <v>1.47</v>
      </c>
      <c r="K123" s="1">
        <f>IFERROR(__xludf.DUMMYFUNCTION("""COMPUTED_VALUE"""),172)</f>
        <v>172</v>
      </c>
      <c r="L123" s="1" t="str">
        <f>IFERROR(__xludf.DUMMYFUNCTION("""COMPUTED_VALUE"""),"Yes")</f>
        <v>Yes</v>
      </c>
      <c r="M123" s="1" t="str">
        <f>IFERROR(__xludf.DUMMYFUNCTION("""COMPUTED_VALUE"""),"Yes")</f>
        <v>Yes</v>
      </c>
      <c r="N123" s="1" t="str">
        <f>IFERROR(__xludf.DUMMYFUNCTION("""COMPUTED_VALUE"""),"South Africa")</f>
        <v>South Africa</v>
      </c>
      <c r="O123" s="1" t="str">
        <f>IFERROR(__xludf.DUMMYFUNCTION("""COMPUTED_VALUE"""),"Centurion")</f>
        <v>Centurion</v>
      </c>
      <c r="P123" s="1" t="str">
        <f>IFERROR(__xludf.DUMMYFUNCTION("""COMPUTED_VALUE"""),"South Africa")</f>
        <v>South Africa</v>
      </c>
      <c r="Q123" s="1" t="str">
        <f>IFERROR(__xludf.DUMMYFUNCTION("""COMPUTED_VALUE"""),"Durban")</f>
        <v>Durban</v>
      </c>
      <c r="R123" s="1" t="str">
        <f>IFERROR(__xludf.DUMMYFUNCTION("""COMPUTED_VALUE"""),"Road")</f>
        <v>Road</v>
      </c>
      <c r="S123" s="1" t="str">
        <f>IFERROR(__xludf.DUMMYFUNCTION("""COMPUTED_VALUE"""),"EXW")</f>
        <v>EXW</v>
      </c>
      <c r="T123" s="1"/>
      <c r="U123" s="1"/>
      <c r="V123" s="1"/>
      <c r="W123" s="1"/>
      <c r="X123" s="1"/>
      <c r="Y123" s="1"/>
    </row>
    <row r="124" customHeight="1" spans="1:25">
      <c r="A124" s="1" t="str">
        <f>IFERROR(__xludf.DUMMYFUNCTION("""COMPUTED_VALUE"""),"lc4AHOxF51psOwIBAEBvFn")</f>
        <v>lc4AHOxF51psOwIBAEBvFn</v>
      </c>
      <c r="B124" s="1">
        <f>IFERROR(__xludf.DUMMYFUNCTION("""COMPUTED_VALUE"""),123)</f>
        <v>123</v>
      </c>
      <c r="C124" s="1" t="str">
        <f>IFERROR(__xludf.DUMMYFUNCTION("""COMPUTED_VALUE"""),"DL123")</f>
        <v>DL123</v>
      </c>
      <c r="D124" s="2">
        <f>IFERROR(__xludf.DUMMYFUNCTION("""COMPUTED_VALUE"""),45355)</f>
        <v>45355</v>
      </c>
      <c r="E124" s="1" t="str">
        <f>IFERROR(__xludf.DUMMYFUNCTION("""COMPUTED_VALUE"""),"Simweetwa Muchindu")</f>
        <v>Simweetwa Muchindu</v>
      </c>
      <c r="F124" s="1">
        <f>IFERROR(__xludf.DUMMYFUNCTION("""COMPUTED_VALUE"""),405)</f>
        <v>405</v>
      </c>
      <c r="G124" s="1" t="str">
        <f>IFERROR(__xludf.DUMMYFUNCTION("""COMPUTED_VALUE"""),"T.Shirts &amp; Key Holder")</f>
        <v>T.Shirts &amp; Key Holder</v>
      </c>
      <c r="H124" s="1">
        <f>IFERROR(__xludf.DUMMYFUNCTION("""COMPUTED_VALUE"""),1)</f>
        <v>1</v>
      </c>
      <c r="I124" s="1"/>
      <c r="J124" s="1">
        <f>IFERROR(__xludf.DUMMYFUNCTION("""COMPUTED_VALUE"""),0.01)</f>
        <v>0.01</v>
      </c>
      <c r="K124" s="1">
        <f>IFERROR(__xludf.DUMMYFUNCTION("""COMPUTED_VALUE"""),1)</f>
        <v>1</v>
      </c>
      <c r="L124" s="1" t="str">
        <f>IFERROR(__xludf.DUMMYFUNCTION("""COMPUTED_VALUE"""),"Yes")</f>
        <v>Yes</v>
      </c>
      <c r="M124" s="1" t="str">
        <f>IFERROR(__xludf.DUMMYFUNCTION("""COMPUTED_VALUE"""),"Yes")</f>
        <v>Yes</v>
      </c>
      <c r="N124" s="1" t="str">
        <f>IFERROR(__xludf.DUMMYFUNCTION("""COMPUTED_VALUE"""),"South Africa")</f>
        <v>South Africa</v>
      </c>
      <c r="O124" s="1" t="str">
        <f>IFERROR(__xludf.DUMMYFUNCTION("""COMPUTED_VALUE"""),"China")</f>
        <v>China</v>
      </c>
      <c r="P124" s="1" t="str">
        <f>IFERROR(__xludf.DUMMYFUNCTION("""COMPUTED_VALUE"""),"China")</f>
        <v>China</v>
      </c>
      <c r="Q124" s="1" t="str">
        <f>IFERROR(__xludf.DUMMYFUNCTION("""COMPUTED_VALUE"""),"Guangzhou")</f>
        <v>Guangzhou</v>
      </c>
      <c r="R124" s="1" t="str">
        <f>IFERROR(__xludf.DUMMYFUNCTION("""COMPUTED_VALUE"""),"Air")</f>
        <v>Air</v>
      </c>
      <c r="S124" s="1" t="str">
        <f>IFERROR(__xludf.DUMMYFUNCTION("""COMPUTED_VALUE"""),"EXW")</f>
        <v>EXW</v>
      </c>
      <c r="T124" s="1" t="str">
        <f>IFERROR(__xludf.DUMMYFUNCTION("""COMPUTED_VALUE"""),"Fedex")</f>
        <v>Fedex</v>
      </c>
      <c r="U124" s="1"/>
      <c r="V124" s="1"/>
      <c r="W124" s="1"/>
      <c r="X124" s="1"/>
      <c r="Y124" s="1"/>
    </row>
    <row r="125" customHeight="1" spans="1:25">
      <c r="A125" s="1" t="str">
        <f>IFERROR(__xludf.DUMMYFUNCTION("""COMPUTED_VALUE"""),"gcPXNbmq39Ci79BPqyywrR")</f>
        <v>gcPXNbmq39Ci79BPqyywrR</v>
      </c>
      <c r="B125" s="1">
        <f>IFERROR(__xludf.DUMMYFUNCTION("""COMPUTED_VALUE"""),124)</f>
        <v>124</v>
      </c>
      <c r="C125" s="1" t="str">
        <f>IFERROR(__xludf.DUMMYFUNCTION("""COMPUTED_VALUE"""),"DL124")</f>
        <v>DL124</v>
      </c>
      <c r="D125" s="2">
        <f>IFERROR(__xludf.DUMMYFUNCTION("""COMPUTED_VALUE"""),45392)</f>
        <v>45392</v>
      </c>
      <c r="E125" s="1" t="str">
        <f>IFERROR(__xludf.DUMMYFUNCTION("""COMPUTED_VALUE"""),"Karl Bulow")</f>
        <v>Karl Bulow</v>
      </c>
      <c r="F125" s="1">
        <f>IFERROR(__xludf.DUMMYFUNCTION("""COMPUTED_VALUE"""),227)</f>
        <v>227</v>
      </c>
      <c r="G125" s="1" t="str">
        <f>IFERROR(__xludf.DUMMYFUNCTION("""COMPUTED_VALUE"""),"Lights")</f>
        <v>Lights</v>
      </c>
      <c r="H125" s="1">
        <f>IFERROR(__xludf.DUMMYFUNCTION("""COMPUTED_VALUE"""),3)</f>
        <v>3</v>
      </c>
      <c r="I125" s="1"/>
      <c r="J125" s="1">
        <f>IFERROR(__xludf.DUMMYFUNCTION("""COMPUTED_VALUE"""),0.2)</f>
        <v>0.2</v>
      </c>
      <c r="K125" s="1">
        <f>IFERROR(__xludf.DUMMYFUNCTION("""COMPUTED_VALUE"""),15)</f>
        <v>15</v>
      </c>
      <c r="L125" s="1" t="str">
        <f>IFERROR(__xludf.DUMMYFUNCTION("""COMPUTED_VALUE"""),"Yes")</f>
        <v>Yes</v>
      </c>
      <c r="M125" s="1" t="str">
        <f>IFERROR(__xludf.DUMMYFUNCTION("""COMPUTED_VALUE"""),"Yes")</f>
        <v>Yes</v>
      </c>
      <c r="N125" s="1" t="str">
        <f>IFERROR(__xludf.DUMMYFUNCTION("""COMPUTED_VALUE"""),"China")</f>
        <v>China</v>
      </c>
      <c r="O125" s="1"/>
      <c r="P125" s="1" t="str">
        <f>IFERROR(__xludf.DUMMYFUNCTION("""COMPUTED_VALUE"""),"South Africa")</f>
        <v>South Africa</v>
      </c>
      <c r="Q125" s="1"/>
      <c r="R125" s="1" t="str">
        <f>IFERROR(__xludf.DUMMYFUNCTION("""COMPUTED_VALUE"""),"Sea")</f>
        <v>Sea</v>
      </c>
      <c r="S125" s="1" t="str">
        <f>IFERROR(__xludf.DUMMYFUNCTION("""COMPUTED_VALUE"""),"EXW")</f>
        <v>EXW</v>
      </c>
      <c r="T125" s="1" t="str">
        <f>IFERROR(__xludf.DUMMYFUNCTION("""COMPUTED_VALUE"""),"Obd Logistics Co ltd")</f>
        <v>Obd Logistics Co ltd</v>
      </c>
      <c r="U125" s="1" t="str">
        <f>IFERROR(__xludf.DUMMYFUNCTION("""COMPUTED_VALUE"""),"Building 2, No. 6, Xinxing Yiheng Road, Baisha, Humen Town Guangdong, Donguang,China")</f>
        <v>Building 2, No. 6, Xinxing Yiheng Road, Baisha, Humen Town Guangdong, Donguang,China</v>
      </c>
      <c r="V125" s="1" t="str">
        <f>IFERROR(__xludf.DUMMYFUNCTION("""COMPUTED_VALUE"""),"obdsales6@obdlogistics.com")</f>
        <v>obdsales6@obdlogistics.com</v>
      </c>
      <c r="W125" s="1"/>
      <c r="X125" s="1"/>
      <c r="Y125" s="1"/>
    </row>
    <row r="126" customHeight="1" spans="1: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customHeight="1" spans="1:25">
      <c r="A127" s="1" t="str">
        <f>IFERROR(__xludf.DUMMYFUNCTION("""COMPUTED_VALUE"""),"mQGD9A5lJrvYGgrosZgAU9")</f>
        <v>mQGD9A5lJrvYGgrosZgAU9</v>
      </c>
      <c r="B127" s="1">
        <f>IFERROR(__xludf.DUMMYFUNCTION("""COMPUTED_VALUE"""),126)</f>
        <v>126</v>
      </c>
      <c r="C127" s="1" t="str">
        <f>IFERROR(__xludf.DUMMYFUNCTION("""COMPUTED_VALUE"""),"DL126")</f>
        <v>DL126</v>
      </c>
      <c r="D127" s="2">
        <f>IFERROR(__xludf.DUMMYFUNCTION("""COMPUTED_VALUE"""),45359)</f>
        <v>45359</v>
      </c>
      <c r="E127" s="1" t="str">
        <f>IFERROR(__xludf.DUMMYFUNCTION("""COMPUTED_VALUE"""),"Mpho Ngobene")</f>
        <v>Mpho Ngobene</v>
      </c>
      <c r="F127" s="1">
        <f>IFERROR(__xludf.DUMMYFUNCTION("""COMPUTED_VALUE"""),226)</f>
        <v>226</v>
      </c>
      <c r="G127" s="1" t="str">
        <f>IFERROR(__xludf.DUMMYFUNCTION("""COMPUTED_VALUE"""),"Shoes")</f>
        <v>Shoes</v>
      </c>
      <c r="H127" s="1">
        <f>IFERROR(__xludf.DUMMYFUNCTION("""COMPUTED_VALUE"""),16)</f>
        <v>16</v>
      </c>
      <c r="I127" s="1"/>
      <c r="J127" s="1">
        <f>IFERROR(__xludf.DUMMYFUNCTION("""COMPUTED_VALUE"""),2.6)</f>
        <v>2.6</v>
      </c>
      <c r="K127" s="1">
        <f>IFERROR(__xludf.DUMMYFUNCTION("""COMPUTED_VALUE"""),500)</f>
        <v>500</v>
      </c>
      <c r="L127" s="1" t="str">
        <f>IFERROR(__xludf.DUMMYFUNCTION("""COMPUTED_VALUE"""),"Yes")</f>
        <v>Yes</v>
      </c>
      <c r="M127" s="1" t="str">
        <f>IFERROR(__xludf.DUMMYFUNCTION("""COMPUTED_VALUE"""),"Yes")</f>
        <v>Yes</v>
      </c>
      <c r="N127" s="1" t="str">
        <f>IFERROR(__xludf.DUMMYFUNCTION("""COMPUTED_VALUE"""),"China")</f>
        <v>China</v>
      </c>
      <c r="O127" s="1"/>
      <c r="P127" s="1" t="str">
        <f>IFERROR(__xludf.DUMMYFUNCTION("""COMPUTED_VALUE"""),"South Africa")</f>
        <v>South Africa</v>
      </c>
      <c r="Q127" s="1" t="str">
        <f>IFERROR(__xludf.DUMMYFUNCTION("""COMPUTED_VALUE"""),"Kempton Park")</f>
        <v>Kempton Park</v>
      </c>
      <c r="R127" s="1" t="str">
        <f>IFERROR(__xludf.DUMMYFUNCTION("""COMPUTED_VALUE"""),"Sea")</f>
        <v>Sea</v>
      </c>
      <c r="S127" s="1" t="str">
        <f>IFERROR(__xludf.DUMMYFUNCTION("""COMPUTED_VALUE"""),"EXW")</f>
        <v>EXW</v>
      </c>
      <c r="T127" s="1" t="str">
        <f>IFERROR(__xludf.DUMMYFUNCTION("""COMPUTED_VALUE"""),"OBD Logisticc.Co ltd")</f>
        <v>OBD Logisticc.Co ltd</v>
      </c>
      <c r="U127" s="1" t="str">
        <f>IFERROR(__xludf.DUMMYFUNCTION("""COMPUTED_VALUE"""),"Address: The first floor of Building 2, No. 6, Xinxing Yiheng Road, Baisha, Humen Town, Dongguan, Guangdong")</f>
        <v>Address: The first floor of Building 2, No. 6, Xinxing Yiheng Road, Baisha, Humen Town, Dongguan, Guangdong</v>
      </c>
      <c r="V127" s="1" t="str">
        <f>IFERROR(__xludf.DUMMYFUNCTION("""COMPUTED_VALUE"""),"obdsales6@obdlogistics.com")</f>
        <v>obdsales6@obdlogistics.com</v>
      </c>
      <c r="W127" s="1"/>
      <c r="X127" s="1"/>
      <c r="Y127" s="1"/>
    </row>
    <row r="128" customHeight="1" spans="1:25">
      <c r="A128" s="1" t="str">
        <f>IFERROR(__xludf.DUMMYFUNCTION("""COMPUTED_VALUE"""),"0K84EbaNcCdtSjzGnpaiFc")</f>
        <v>0K84EbaNcCdtSjzGnpaiFc</v>
      </c>
      <c r="B128" s="1">
        <f>IFERROR(__xludf.DUMMYFUNCTION("""COMPUTED_VALUE"""),127)</f>
        <v>127</v>
      </c>
      <c r="C128" s="1" t="str">
        <f>IFERROR(__xludf.DUMMYFUNCTION("""COMPUTED_VALUE"""),"DL127")</f>
        <v>DL127</v>
      </c>
      <c r="D128" s="2">
        <f>IFERROR(__xludf.DUMMYFUNCTION("""COMPUTED_VALUE"""),45362)</f>
        <v>45362</v>
      </c>
      <c r="E128" s="1" t="str">
        <f>IFERROR(__xludf.DUMMYFUNCTION("""COMPUTED_VALUE"""),"Epicutis Skin Care")</f>
        <v>Epicutis Skin Care</v>
      </c>
      <c r="F128" s="1">
        <f>IFERROR(__xludf.DUMMYFUNCTION("""COMPUTED_VALUE"""),219)</f>
        <v>219</v>
      </c>
      <c r="G128" s="1" t="str">
        <f>IFERROR(__xludf.DUMMYFUNCTION("""COMPUTED_VALUE"""),"Water Distiller")</f>
        <v>Water Distiller</v>
      </c>
      <c r="H128" s="1">
        <f>IFERROR(__xludf.DUMMYFUNCTION("""COMPUTED_VALUE"""),4)</f>
        <v>4</v>
      </c>
      <c r="I128" s="1"/>
      <c r="J128" s="1">
        <f>IFERROR(__xludf.DUMMYFUNCTION("""COMPUTED_VALUE"""),0.63)</f>
        <v>0.63</v>
      </c>
      <c r="K128" s="1">
        <f>IFERROR(__xludf.DUMMYFUNCTION("""COMPUTED_VALUE"""),105)</f>
        <v>105</v>
      </c>
      <c r="L128" s="1" t="str">
        <f>IFERROR(__xludf.DUMMYFUNCTION("""COMPUTED_VALUE"""),"Yes")</f>
        <v>Yes</v>
      </c>
      <c r="M128" s="1" t="str">
        <f>IFERROR(__xludf.DUMMYFUNCTION("""COMPUTED_VALUE"""),"Yes")</f>
        <v>Yes</v>
      </c>
      <c r="N128" s="1" t="str">
        <f>IFERROR(__xludf.DUMMYFUNCTION("""COMPUTED_VALUE"""),"China")</f>
        <v>China</v>
      </c>
      <c r="O128" s="1"/>
      <c r="P128" s="1" t="str">
        <f>IFERROR(__xludf.DUMMYFUNCTION("""COMPUTED_VALUE"""),"South Africa")</f>
        <v>South Africa</v>
      </c>
      <c r="Q128" s="1" t="str">
        <f>IFERROR(__xludf.DUMMYFUNCTION("""COMPUTED_VALUE"""),"Bloomfontein")</f>
        <v>Bloomfontein</v>
      </c>
      <c r="R128" s="1" t="str">
        <f>IFERROR(__xludf.DUMMYFUNCTION("""COMPUTED_VALUE"""),"Air")</f>
        <v>Air</v>
      </c>
      <c r="S128" s="1" t="str">
        <f>IFERROR(__xludf.DUMMYFUNCTION("""COMPUTED_VALUE"""),"EXW")</f>
        <v>EXW</v>
      </c>
      <c r="T128" s="1"/>
      <c r="U128" s="1"/>
      <c r="V128" s="1"/>
      <c r="W128" s="1"/>
      <c r="X128" s="1"/>
      <c r="Y128" s="1"/>
    </row>
    <row r="129" customHeight="1" spans="1:25">
      <c r="A129" s="1" t="str">
        <f>IFERROR(__xludf.DUMMYFUNCTION("""COMPUTED_VALUE"""),"0yPD7q6N0Q38sBmpbdgXQh")</f>
        <v>0yPD7q6N0Q38sBmpbdgXQh</v>
      </c>
      <c r="B129" s="1">
        <f>IFERROR(__xludf.DUMMYFUNCTION("""COMPUTED_VALUE"""),128)</f>
        <v>128</v>
      </c>
      <c r="C129" s="1" t="str">
        <f>IFERROR(__xludf.DUMMYFUNCTION("""COMPUTED_VALUE"""),"DL128")</f>
        <v>DL128</v>
      </c>
      <c r="D129" s="2">
        <f>IFERROR(__xludf.DUMMYFUNCTION("""COMPUTED_VALUE"""),45356)</f>
        <v>45356</v>
      </c>
      <c r="E129" s="1" t="str">
        <f>IFERROR(__xludf.DUMMYFUNCTION("""COMPUTED_VALUE"""),"African Technopreneurs")</f>
        <v>African Technopreneurs</v>
      </c>
      <c r="F129" s="1">
        <f>IFERROR(__xludf.DUMMYFUNCTION("""COMPUTED_VALUE"""),157)</f>
        <v>157</v>
      </c>
      <c r="G129" s="1" t="str">
        <f>IFERROR(__xludf.DUMMYFUNCTION("""COMPUTED_VALUE"""),"Apple Vision Pro")</f>
        <v>Apple Vision Pro</v>
      </c>
      <c r="H129" s="1"/>
      <c r="I129" s="1"/>
      <c r="J129" s="1">
        <f>IFERROR(__xludf.DUMMYFUNCTION("""COMPUTED_VALUE"""),0.02)</f>
        <v>0.02</v>
      </c>
      <c r="K129" s="1">
        <f>IFERROR(__xludf.DUMMYFUNCTION("""COMPUTED_VALUE"""),5)</f>
        <v>5</v>
      </c>
      <c r="L129" s="1"/>
      <c r="M129" s="1"/>
      <c r="N129" s="1"/>
      <c r="O129" s="1"/>
      <c r="P129" s="1"/>
      <c r="Q129" s="1"/>
      <c r="R129" s="1" t="str">
        <f>IFERROR(__xludf.DUMMYFUNCTION("""COMPUTED_VALUE"""),"Air")</f>
        <v>Air</v>
      </c>
      <c r="S129" s="1" t="str">
        <f>IFERROR(__xludf.DUMMYFUNCTION("""COMPUTED_VALUE"""),"EXW")</f>
        <v>EXW</v>
      </c>
      <c r="T129" s="1"/>
      <c r="U129" s="1"/>
      <c r="V129" s="1"/>
      <c r="W129" s="1"/>
      <c r="X129" s="1"/>
      <c r="Y129" s="1"/>
    </row>
    <row r="130" customHeight="1" spans="1:25">
      <c r="A130" s="1" t="str">
        <f>IFERROR(__xludf.DUMMYFUNCTION("""COMPUTED_VALUE"""),"RR7bA0Y22pMMKtUsSe7Bv5")</f>
        <v>RR7bA0Y22pMMKtUsSe7Bv5</v>
      </c>
      <c r="B130" s="1">
        <f>IFERROR(__xludf.DUMMYFUNCTION("""COMPUTED_VALUE"""),129)</f>
        <v>129</v>
      </c>
      <c r="C130" s="1" t="str">
        <f>IFERROR(__xludf.DUMMYFUNCTION("""COMPUTED_VALUE"""),"DL129")</f>
        <v>DL129</v>
      </c>
      <c r="D130" s="2">
        <f>IFERROR(__xludf.DUMMYFUNCTION("""COMPUTED_VALUE"""),45362)</f>
        <v>45362</v>
      </c>
      <c r="E130" s="1" t="str">
        <f>IFERROR(__xludf.DUMMYFUNCTION("""COMPUTED_VALUE"""),"LWAMS AFRICA GROUP")</f>
        <v>LWAMS AFRICA GROUP</v>
      </c>
      <c r="F130" s="1">
        <f>IFERROR(__xludf.DUMMYFUNCTION("""COMPUTED_VALUE"""),284)</f>
        <v>284</v>
      </c>
      <c r="G130" s="1" t="str">
        <f>IFERROR(__xludf.DUMMYFUNCTION("""COMPUTED_VALUE"""),"Plastic Bags")</f>
        <v>Plastic Bags</v>
      </c>
      <c r="H130" s="1"/>
      <c r="I130" s="1"/>
      <c r="J130" s="1">
        <f>IFERROR(__xludf.DUMMYFUNCTION("""COMPUTED_VALUE"""),6.7)</f>
        <v>6.7</v>
      </c>
      <c r="K130" s="1">
        <f>IFERROR(__xludf.DUMMYFUNCTION("""COMPUTED_VALUE"""),2890)</f>
        <v>2890</v>
      </c>
      <c r="L130" s="1"/>
      <c r="M130" s="1"/>
      <c r="N130" s="1"/>
      <c r="O130" s="1"/>
      <c r="P130" s="1"/>
      <c r="Q130" s="1"/>
      <c r="R130" s="1" t="str">
        <f>IFERROR(__xludf.DUMMYFUNCTION("""COMPUTED_VALUE"""),"Sea")</f>
        <v>Sea</v>
      </c>
      <c r="S130" s="1" t="str">
        <f>IFERROR(__xludf.DUMMYFUNCTION("""COMPUTED_VALUE"""),"EXW")</f>
        <v>EXW</v>
      </c>
      <c r="T130" s="1"/>
      <c r="U130" s="1"/>
      <c r="V130" s="1"/>
      <c r="W130" s="1"/>
      <c r="X130" s="1"/>
      <c r="Y130" s="1"/>
    </row>
    <row r="131" customHeight="1" spans="1:25">
      <c r="A131" s="1" t="str">
        <f>IFERROR(__xludf.DUMMYFUNCTION("""COMPUTED_VALUE"""),"mKfnL7eWF4ibMK24AfJnLZ")</f>
        <v>mKfnL7eWF4ibMK24AfJnLZ</v>
      </c>
      <c r="B131" s="1">
        <f>IFERROR(__xludf.DUMMYFUNCTION("""COMPUTED_VALUE"""),130)</f>
        <v>130</v>
      </c>
      <c r="C131" s="1" t="str">
        <f>IFERROR(__xludf.DUMMYFUNCTION("""COMPUTED_VALUE"""),"DL130")</f>
        <v>DL130</v>
      </c>
      <c r="D131" s="2">
        <f>IFERROR(__xludf.DUMMYFUNCTION("""COMPUTED_VALUE"""),45362)</f>
        <v>45362</v>
      </c>
      <c r="E131" s="1" t="str">
        <f>IFERROR(__xludf.DUMMYFUNCTION("""COMPUTED_VALUE"""),"Mpumatech Stainless Tube (Pty) Ltd")</f>
        <v>Mpumatech Stainless Tube (Pty) Ltd</v>
      </c>
      <c r="F131" s="1">
        <f>IFERROR(__xludf.DUMMYFUNCTION("""COMPUTED_VALUE"""),414)</f>
        <v>414</v>
      </c>
      <c r="G131" s="1" t="str">
        <f>IFERROR(__xludf.DUMMYFUNCTION("""COMPUTED_VALUE"""),"Gear Lever")</f>
        <v>Gear Lever</v>
      </c>
      <c r="H131" s="1">
        <f>IFERROR(__xludf.DUMMYFUNCTION("""COMPUTED_VALUE"""),2)</f>
        <v>2</v>
      </c>
      <c r="I131" s="1"/>
      <c r="J131" s="1">
        <f>IFERROR(__xludf.DUMMYFUNCTION("""COMPUTED_VALUE"""),1)</f>
        <v>1</v>
      </c>
      <c r="K131" s="1">
        <f>IFERROR(__xludf.DUMMYFUNCTION("""COMPUTED_VALUE"""),2)</f>
        <v>2</v>
      </c>
      <c r="L131" s="1" t="str">
        <f>IFERROR(__xludf.DUMMYFUNCTION("""COMPUTED_VALUE"""),"Yes")</f>
        <v>Yes</v>
      </c>
      <c r="M131" s="1" t="str">
        <f>IFERROR(__xludf.DUMMYFUNCTION("""COMPUTED_VALUE"""),"Yes")</f>
        <v>Yes</v>
      </c>
      <c r="N131" s="1" t="str">
        <f>IFERROR(__xludf.DUMMYFUNCTION("""COMPUTED_VALUE"""),"South Africa")</f>
        <v>South Africa</v>
      </c>
      <c r="O131" s="1" t="str">
        <f>IFERROR(__xludf.DUMMYFUNCTION("""COMPUTED_VALUE"""),"JHB-SANDTON")</f>
        <v>JHB-SANDTON</v>
      </c>
      <c r="P131" s="1" t="str">
        <f>IFERROR(__xludf.DUMMYFUNCTION("""COMPUTED_VALUE"""),"MALI")</f>
        <v>MALI</v>
      </c>
      <c r="Q131" s="1" t="str">
        <f>IFERROR(__xludf.DUMMYFUNCTION("""COMPUTED_VALUE"""),"MALI AIRPORT")</f>
        <v>MALI AIRPORT</v>
      </c>
      <c r="R131" s="1" t="str">
        <f>IFERROR(__xludf.DUMMYFUNCTION("""COMPUTED_VALUE"""),"Air")</f>
        <v>Air</v>
      </c>
      <c r="S131" s="1" t="str">
        <f>IFERROR(__xludf.DUMMYFUNCTION("""COMPUTED_VALUE"""),"DDP")</f>
        <v>DDP</v>
      </c>
      <c r="T131" s="1" t="str">
        <f>IFERROR(__xludf.DUMMYFUNCTION("""COMPUTED_VALUE"""),"ASIA DIRECT")</f>
        <v>ASIA DIRECT</v>
      </c>
      <c r="U131" s="1" t="str">
        <f>IFERROR(__xludf.DUMMYFUNCTION("""COMPUTED_VALUE"""),"Unit 4 Villa Valencia Office Park,2 Anemoon Road,Kempton Park")</f>
        <v>Unit 4 Villa Valencia Office Park,2 Anemoon Road,Kempton Park</v>
      </c>
      <c r="V131" s="1" t="str">
        <f>IFERROR(__xludf.DUMMYFUNCTION("""COMPUTED_VALUE"""),"Info@asiadirect.africa")</f>
        <v>Info@asiadirect.africa</v>
      </c>
      <c r="W131" s="1" t="str">
        <f>IFERROR(__xludf.DUMMYFUNCTION("""COMPUTED_VALUE"""),"0104480733")</f>
        <v>0104480733</v>
      </c>
      <c r="X131" s="1"/>
      <c r="Y131" s="1"/>
    </row>
    <row r="132" customHeight="1" spans="1:25">
      <c r="A132" s="1" t="str">
        <f>IFERROR(__xludf.DUMMYFUNCTION("""COMPUTED_VALUE"""),"PeVmCVQ5nnCvqpqnhuG3s3")</f>
        <v>PeVmCVQ5nnCvqpqnhuG3s3</v>
      </c>
      <c r="B132" s="1">
        <f>IFERROR(__xludf.DUMMYFUNCTION("""COMPUTED_VALUE"""),131)</f>
        <v>131</v>
      </c>
      <c r="C132" s="1" t="str">
        <f>IFERROR(__xludf.DUMMYFUNCTION("""COMPUTED_VALUE"""),"DL131")</f>
        <v>DL131</v>
      </c>
      <c r="D132" s="2">
        <f>IFERROR(__xludf.DUMMYFUNCTION("""COMPUTED_VALUE"""),45362)</f>
        <v>45362</v>
      </c>
      <c r="E132" s="1" t="str">
        <f>IFERROR(__xludf.DUMMYFUNCTION("""COMPUTED_VALUE"""),"African Technopreneurs")</f>
        <v>African Technopreneurs</v>
      </c>
      <c r="F132" s="1">
        <f>IFERROR(__xludf.DUMMYFUNCTION("""COMPUTED_VALUE"""),157)</f>
        <v>157</v>
      </c>
      <c r="G132" s="1" t="str">
        <f>IFERROR(__xludf.DUMMYFUNCTION("""COMPUTED_VALUE"""),"Selfie stick")</f>
        <v>Selfie stick</v>
      </c>
      <c r="H132" s="1">
        <f>IFERROR(__xludf.DUMMYFUNCTION("""COMPUTED_VALUE"""),7)</f>
        <v>7</v>
      </c>
      <c r="I132" s="1"/>
      <c r="J132" s="1">
        <f>IFERROR(__xludf.DUMMYFUNCTION("""COMPUTED_VALUE"""),0.34)</f>
        <v>0.34</v>
      </c>
      <c r="K132" s="1">
        <f>IFERROR(__xludf.DUMMYFUNCTION("""COMPUTED_VALUE"""),60)</f>
        <v>60</v>
      </c>
      <c r="L132" s="1" t="str">
        <f>IFERROR(__xludf.DUMMYFUNCTION("""COMPUTED_VALUE"""),"Yes")</f>
        <v>Yes</v>
      </c>
      <c r="M132" s="1" t="str">
        <f>IFERROR(__xludf.DUMMYFUNCTION("""COMPUTED_VALUE"""),"Yes")</f>
        <v>Yes</v>
      </c>
      <c r="N132" s="1" t="str">
        <f>IFERROR(__xludf.DUMMYFUNCTION("""COMPUTED_VALUE"""),"China")</f>
        <v>China</v>
      </c>
      <c r="O132" s="1" t="str">
        <f>IFERROR(__xludf.DUMMYFUNCTION("""COMPUTED_VALUE"""),"Hongkong")</f>
        <v>Hongkong</v>
      </c>
      <c r="P132" s="1" t="str">
        <f>IFERROR(__xludf.DUMMYFUNCTION("""COMPUTED_VALUE"""),"South Africa")</f>
        <v>South Africa</v>
      </c>
      <c r="Q132" s="1" t="str">
        <f>IFERROR(__xludf.DUMMYFUNCTION("""COMPUTED_VALUE"""),"Centurion")</f>
        <v>Centurion</v>
      </c>
      <c r="R132" s="1" t="str">
        <f>IFERROR(__xludf.DUMMYFUNCTION("""COMPUTED_VALUE"""),"Air")</f>
        <v>Air</v>
      </c>
      <c r="S132" s="1" t="str">
        <f>IFERROR(__xludf.DUMMYFUNCTION("""COMPUTED_VALUE"""),"EXW")</f>
        <v>EXW</v>
      </c>
      <c r="T132" s="1" t="str">
        <f>IFERROR(__xludf.DUMMYFUNCTION("""COMPUTED_VALUE"""),"ISTONE INNOVATION LIMITED")</f>
        <v>ISTONE INNOVATION LIMITED</v>
      </c>
      <c r="U132" s="1" t="str">
        <f>IFERROR(__xludf.DUMMYFUNCTION("""COMPUTED_VALUE"""),"UNIT 5, 6/F, HANG WAI INDUSTRIAL CENTRE BLOCK C, NO. 6 KIN TAI ROAD, TUEN MUN.NEW TERRITORIES HONG KONG,CHINA")</f>
        <v>UNIT 5, 6/F, HANG WAI INDUSTRIAL CENTRE BLOCK C, NO. 6 KIN TAI ROAD, TUEN MUN.NEW TERRITORIES HONG KONG,CHINA</v>
      </c>
      <c r="V132" s="1"/>
      <c r="W132" s="1" t="str">
        <f>IFERROR(__xludf.DUMMYFUNCTION("""COMPUTED_VALUE"""),"+852 21239148")</f>
        <v>+852 21239148</v>
      </c>
      <c r="X132" s="1"/>
      <c r="Y132" s="1"/>
    </row>
    <row r="133" customHeight="1" spans="1:25">
      <c r="A133" s="1" t="str">
        <f>IFERROR(__xludf.DUMMYFUNCTION("""COMPUTED_VALUE"""),"78nHbGbj3bjYMBvKbL7VKr")</f>
        <v>78nHbGbj3bjYMBvKbL7VKr</v>
      </c>
      <c r="B133" s="1">
        <f>IFERROR(__xludf.DUMMYFUNCTION("""COMPUTED_VALUE"""),132)</f>
        <v>132</v>
      </c>
      <c r="C133" s="1" t="str">
        <f>IFERROR(__xludf.DUMMYFUNCTION("""COMPUTED_VALUE"""),"DL132")</f>
        <v>DL132</v>
      </c>
      <c r="D133" s="2">
        <f>IFERROR(__xludf.DUMMYFUNCTION("""COMPUTED_VALUE"""),45362)</f>
        <v>45362</v>
      </c>
      <c r="E133" s="1" t="str">
        <f>IFERROR(__xludf.DUMMYFUNCTION("""COMPUTED_VALUE"""),"Mpumatech Stainless Tube (Pty) Ltd")</f>
        <v>Mpumatech Stainless Tube (Pty) Ltd</v>
      </c>
      <c r="F133" s="1">
        <f>IFERROR(__xludf.DUMMYFUNCTION("""COMPUTED_VALUE"""),414)</f>
        <v>414</v>
      </c>
      <c r="G133" s="1" t="str">
        <f>IFERROR(__xludf.DUMMYFUNCTION("""COMPUTED_VALUE"""),"V-Belt")</f>
        <v>V-Belt</v>
      </c>
      <c r="H133" s="1">
        <f>IFERROR(__xludf.DUMMYFUNCTION("""COMPUTED_VALUE"""),1)</f>
        <v>1</v>
      </c>
      <c r="I133" s="1"/>
      <c r="J133" s="1">
        <f>IFERROR(__xludf.DUMMYFUNCTION("""COMPUTED_VALUE"""),0.01)</f>
        <v>0.01</v>
      </c>
      <c r="K133" s="1">
        <f>IFERROR(__xludf.DUMMYFUNCTION("""COMPUTED_VALUE"""),1)</f>
        <v>1</v>
      </c>
      <c r="L133" s="1" t="str">
        <f>IFERROR(__xludf.DUMMYFUNCTION("""COMPUTED_VALUE"""),"Yes")</f>
        <v>Yes</v>
      </c>
      <c r="M133" s="1" t="str">
        <f>IFERROR(__xludf.DUMMYFUNCTION("""COMPUTED_VALUE"""),"Yes")</f>
        <v>Yes</v>
      </c>
      <c r="N133" s="1" t="str">
        <f>IFERROR(__xludf.DUMMYFUNCTION("""COMPUTED_VALUE"""),"SOUTH Africa")</f>
        <v>SOUTH Africa</v>
      </c>
      <c r="O133" s="1" t="str">
        <f>IFERROR(__xludf.DUMMYFUNCTION("""COMPUTED_VALUE"""),"JHB-Sandton")</f>
        <v>JHB-Sandton</v>
      </c>
      <c r="P133" s="1" t="str">
        <f>IFERROR(__xludf.DUMMYFUNCTION("""COMPUTED_VALUE"""),"Mali")</f>
        <v>Mali</v>
      </c>
      <c r="Q133" s="1"/>
      <c r="R133" s="1" t="str">
        <f>IFERROR(__xludf.DUMMYFUNCTION("""COMPUTED_VALUE"""),"Air")</f>
        <v>Air</v>
      </c>
      <c r="S133" s="1" t="str">
        <f>IFERROR(__xludf.DUMMYFUNCTION("""COMPUTED_VALUE"""),"EXW")</f>
        <v>EXW</v>
      </c>
      <c r="T133" s="1" t="str">
        <f>IFERROR(__xludf.DUMMYFUNCTION("""COMPUTED_VALUE"""),"Asia Direct")</f>
        <v>Asia Direct</v>
      </c>
      <c r="U133" s="1" t="str">
        <f>IFERROR(__xludf.DUMMYFUNCTION("""COMPUTED_VALUE"""),"Unit 4 Villa VAlencia,2 Anemoon Road,Glenmarais , Kempton")</f>
        <v>Unit 4 Villa VAlencia,2 Anemoon Road,Glenmarais , Kempton</v>
      </c>
      <c r="V133" s="1" t="str">
        <f>IFERROR(__xludf.DUMMYFUNCTION("""COMPUTED_VALUE"""),"info@asiadirect.africa")</f>
        <v>info@asiadirect.africa</v>
      </c>
      <c r="W133" s="1" t="str">
        <f>IFERROR(__xludf.DUMMYFUNCTION("""COMPUTED_VALUE"""),"0104480733")</f>
        <v>0104480733</v>
      </c>
      <c r="X133" s="1"/>
      <c r="Y133" s="1"/>
    </row>
    <row r="134" customHeight="1" spans="1:25">
      <c r="A134" s="1" t="str">
        <f>IFERROR(__xludf.DUMMYFUNCTION("""COMPUTED_VALUE"""),"K5EoBTqNEaX27pLZtooGRf")</f>
        <v>K5EoBTqNEaX27pLZtooGRf</v>
      </c>
      <c r="B134" s="1">
        <f>IFERROR(__xludf.DUMMYFUNCTION("""COMPUTED_VALUE"""),133)</f>
        <v>133</v>
      </c>
      <c r="C134" s="1" t="str">
        <f>IFERROR(__xludf.DUMMYFUNCTION("""COMPUTED_VALUE"""),"DL133")</f>
        <v>DL133</v>
      </c>
      <c r="D134" s="2">
        <f>IFERROR(__xludf.DUMMYFUNCTION("""COMPUTED_VALUE"""),45359)</f>
        <v>45359</v>
      </c>
      <c r="E134" s="1" t="str">
        <f>IFERROR(__xludf.DUMMYFUNCTION("""COMPUTED_VALUE"""),"Shawn Butler")</f>
        <v>Shawn Butler</v>
      </c>
      <c r="F134" s="1">
        <f>IFERROR(__xludf.DUMMYFUNCTION("""COMPUTED_VALUE"""),413)</f>
        <v>413</v>
      </c>
      <c r="G134" s="1" t="str">
        <f>IFERROR(__xludf.DUMMYFUNCTION("""COMPUTED_VALUE"""),"Cooling System")</f>
        <v>Cooling System</v>
      </c>
      <c r="H134" s="1"/>
      <c r="I134" s="1"/>
      <c r="J134" s="1">
        <f>IFERROR(__xludf.DUMMYFUNCTION("""COMPUTED_VALUE"""),1)</f>
        <v>1</v>
      </c>
      <c r="K134" s="1">
        <f>IFERROR(__xludf.DUMMYFUNCTION("""COMPUTED_VALUE"""),26)</f>
        <v>26</v>
      </c>
      <c r="L134" s="1"/>
      <c r="M134" s="1"/>
      <c r="N134" s="1"/>
      <c r="O134" s="1"/>
      <c r="P134" s="1"/>
      <c r="Q134" s="1"/>
      <c r="R134" s="1" t="str">
        <f>IFERROR(__xludf.DUMMYFUNCTION("""COMPUTED_VALUE"""),"Air")</f>
        <v>Air</v>
      </c>
      <c r="S134" s="1" t="str">
        <f>IFERROR(__xludf.DUMMYFUNCTION("""COMPUTED_VALUE"""),"EXW")</f>
        <v>EXW</v>
      </c>
      <c r="T134" s="1"/>
      <c r="U134" s="1"/>
      <c r="V134" s="1"/>
      <c r="W134" s="1"/>
      <c r="X134" s="1"/>
      <c r="Y134" s="1"/>
    </row>
    <row r="135" customHeight="1" spans="1:25">
      <c r="A135" s="1" t="str">
        <f>IFERROR(__xludf.DUMMYFUNCTION("""COMPUTED_VALUE"""),"8TT1ejSHlyaZ4np9FyswHw")</f>
        <v>8TT1ejSHlyaZ4np9FyswHw</v>
      </c>
      <c r="B135" s="1">
        <f>IFERROR(__xludf.DUMMYFUNCTION("""COMPUTED_VALUE"""),134)</f>
        <v>134</v>
      </c>
      <c r="C135" s="1" t="str">
        <f>IFERROR(__xludf.DUMMYFUNCTION("""COMPUTED_VALUE"""),"DL134")</f>
        <v>DL134</v>
      </c>
      <c r="D135" s="2">
        <f>IFERROR(__xludf.DUMMYFUNCTION("""COMPUTED_VALUE"""),45366)</f>
        <v>45366</v>
      </c>
      <c r="E135" s="1" t="str">
        <f>IFERROR(__xludf.DUMMYFUNCTION("""COMPUTED_VALUE"""),"Sithembe Procuments")</f>
        <v>Sithembe Procuments</v>
      </c>
      <c r="F135" s="1">
        <f>IFERROR(__xludf.DUMMYFUNCTION("""COMPUTED_VALUE"""),347)</f>
        <v>347</v>
      </c>
      <c r="G135" s="1" t="str">
        <f>IFERROR(__xludf.DUMMYFUNCTION("""COMPUTED_VALUE"""),"RESCUE CUTTER, RESCUE SPREADER, RESCUE RAM")</f>
        <v>RESCUE CUTTER, RESCUE SPREADER, RESCUE RAM</v>
      </c>
      <c r="H135" s="1">
        <f>IFERROR(__xludf.DUMMYFUNCTION("""COMPUTED_VALUE"""),6)</f>
        <v>6</v>
      </c>
      <c r="I135" s="1"/>
      <c r="J135" s="1">
        <f>IFERROR(__xludf.DUMMYFUNCTION("""COMPUTED_VALUE"""),0.71)</f>
        <v>0.71</v>
      </c>
      <c r="K135" s="1">
        <f>IFERROR(__xludf.DUMMYFUNCTION("""COMPUTED_VALUE"""),231)</f>
        <v>231</v>
      </c>
      <c r="L135" s="1" t="str">
        <f>IFERROR(__xludf.DUMMYFUNCTION("""COMPUTED_VALUE"""),"Yes")</f>
        <v>Yes</v>
      </c>
      <c r="M135" s="1" t="str">
        <f>IFERROR(__xludf.DUMMYFUNCTION("""COMPUTED_VALUE"""),"Yes")</f>
        <v>Yes</v>
      </c>
      <c r="N135" s="1" t="str">
        <f>IFERROR(__xludf.DUMMYFUNCTION("""COMPUTED_VALUE"""),"China")</f>
        <v>China</v>
      </c>
      <c r="O135" s="1" t="str">
        <f>IFERROR(__xludf.DUMMYFUNCTION("""COMPUTED_VALUE"""),"Hong Kong")</f>
        <v>Hong Kong</v>
      </c>
      <c r="P135" s="1" t="str">
        <f>IFERROR(__xludf.DUMMYFUNCTION("""COMPUTED_VALUE"""),"South Africa")</f>
        <v>South Africa</v>
      </c>
      <c r="Q135" s="1" t="str">
        <f>IFERROR(__xludf.DUMMYFUNCTION("""COMPUTED_VALUE"""),"Johannesburg")</f>
        <v>Johannesburg</v>
      </c>
      <c r="R135" s="1" t="str">
        <f>IFERROR(__xludf.DUMMYFUNCTION("""COMPUTED_VALUE"""),"Sea")</f>
        <v>Sea</v>
      </c>
      <c r="S135" s="1" t="str">
        <f>IFERROR(__xludf.DUMMYFUNCTION("""COMPUTED_VALUE"""),"EXW")</f>
        <v>EXW</v>
      </c>
      <c r="T135" s="1" t="str">
        <f>IFERROR(__xludf.DUMMYFUNCTION("""COMPUTED_VALUE"""),"BEIJING TOPSKY CENTURY HOLDING CO.,LTD")</f>
        <v>BEIJING TOPSKY CENTURY HOLDING CO.,LTD</v>
      </c>
      <c r="U135" s="1" t="str">
        <f>IFERROR(__xludf.DUMMYFUNCTION("""COMPUTED_VALUE"""),"ADD:10B NO.17 HUANKE MIDDLE ROAD JIN QIAO INDUSTRY BASE TONGZHOU DISTRICT BEIJING CHINA 101102")</f>
        <v>ADD:10B NO.17 HUANKE MIDDLE ROAD JIN QIAO INDUSTRY BASE TONGZHOU DISTRICT BEIJING CHINA 101102</v>
      </c>
      <c r="V135" s="1"/>
      <c r="W135" s="1"/>
      <c r="X135" s="1"/>
      <c r="Y135" s="1"/>
    </row>
    <row r="136" customHeight="1" spans="1:25">
      <c r="A136" s="1" t="str">
        <f>IFERROR(__xludf.DUMMYFUNCTION("""COMPUTED_VALUE"""),"ZO0M1m6I9PibmVNIUOfdeh")</f>
        <v>ZO0M1m6I9PibmVNIUOfdeh</v>
      </c>
      <c r="B136" s="1">
        <f>IFERROR(__xludf.DUMMYFUNCTION("""COMPUTED_VALUE"""),135)</f>
        <v>135</v>
      </c>
      <c r="C136" s="1" t="str">
        <f>IFERROR(__xludf.DUMMYFUNCTION("""COMPUTED_VALUE"""),"DL135")</f>
        <v>DL135</v>
      </c>
      <c r="D136" s="2">
        <f>IFERROR(__xludf.DUMMYFUNCTION("""COMPUTED_VALUE"""),45370)</f>
        <v>45370</v>
      </c>
      <c r="E136" s="1" t="str">
        <f>IFERROR(__xludf.DUMMYFUNCTION("""COMPUTED_VALUE"""),"KONE AND JC")</f>
        <v>KONE AND JC</v>
      </c>
      <c r="F136" s="1">
        <f>IFERROR(__xludf.DUMMYFUNCTION("""COMPUTED_VALUE"""),121)</f>
        <v>121</v>
      </c>
      <c r="G136" s="1" t="str">
        <f>IFERROR(__xludf.DUMMYFUNCTION("""COMPUTED_VALUE"""),"Bikes")</f>
        <v>Bikes</v>
      </c>
      <c r="H136" s="1">
        <f>IFERROR(__xludf.DUMMYFUNCTION("""COMPUTED_VALUE"""),12)</f>
        <v>12</v>
      </c>
      <c r="I136" s="1"/>
      <c r="J136" s="1">
        <f>IFERROR(__xludf.DUMMYFUNCTION("""COMPUTED_VALUE"""),29)</f>
        <v>29</v>
      </c>
      <c r="K136" s="1">
        <f>IFERROR(__xludf.DUMMYFUNCTION("""COMPUTED_VALUE"""),23500)</f>
        <v>23500</v>
      </c>
      <c r="L136" s="1" t="str">
        <f>IFERROR(__xludf.DUMMYFUNCTION("""COMPUTED_VALUE"""),"Yes")</f>
        <v>Yes</v>
      </c>
      <c r="M136" s="1" t="str">
        <f>IFERROR(__xludf.DUMMYFUNCTION("""COMPUTED_VALUE"""),"Yes")</f>
        <v>Yes</v>
      </c>
      <c r="N136" s="1" t="str">
        <f>IFERROR(__xludf.DUMMYFUNCTION("""COMPUTED_VALUE"""),"CHINA")</f>
        <v>CHINA</v>
      </c>
      <c r="O136" s="1" t="str">
        <f>IFERROR(__xludf.DUMMYFUNCTION("""COMPUTED_VALUE"""),"Huaibei City")</f>
        <v>Huaibei City</v>
      </c>
      <c r="P136" s="1" t="str">
        <f>IFERROR(__xludf.DUMMYFUNCTION("""COMPUTED_VALUE"""),"Angola")</f>
        <v>Angola</v>
      </c>
      <c r="Q136" s="1" t="str">
        <f>IFERROR(__xludf.DUMMYFUNCTION("""COMPUTED_VALUE"""),"Luanda")</f>
        <v>Luanda</v>
      </c>
      <c r="R136" s="1" t="str">
        <f>IFERROR(__xludf.DUMMYFUNCTION("""COMPUTED_VALUE"""),"Sea")</f>
        <v>Sea</v>
      </c>
      <c r="S136" s="1" t="str">
        <f>IFERROR(__xludf.DUMMYFUNCTION("""COMPUTED_VALUE"""),"EXW")</f>
        <v>EXW</v>
      </c>
      <c r="T136" s="1" t="str">
        <f>IFERROR(__xludf.DUMMYFUNCTION("""COMPUTED_VALUE"""),"Jiang Mary")</f>
        <v>Jiang Mary</v>
      </c>
      <c r="U136" s="1" t="str">
        <f>IFERROR(__xludf.DUMMYFUNCTION("""COMPUTED_VALUE"""),"he national road 311, Duanyuan Industry Area, Duji District, Huaibei City, Anhui provin")</f>
        <v>he national road 311, Duanyuan Industry Area, Duji District, Huaibei City, Anhui provin</v>
      </c>
      <c r="V136" s="1" t="str">
        <f>IFERROR(__xludf.DUMMYFUNCTION("""COMPUTED_VALUE"""),"support@asiadirect.africa")</f>
        <v>support@asiadirect.africa</v>
      </c>
      <c r="W136" s="1" t="str">
        <f>IFERROR(__xludf.DUMMYFUNCTION("""COMPUTED_VALUE"""),"+86 158 5078 2514")</f>
        <v>+86 158 5078 2514</v>
      </c>
      <c r="X136" s="1"/>
      <c r="Y136" s="1"/>
    </row>
    <row r="137" customHeight="1" spans="1: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customHeight="1" spans="1:25">
      <c r="A138" s="1" t="str">
        <f>IFERROR(__xludf.DUMMYFUNCTION("""COMPUTED_VALUE"""),"XWtp90busOyyBLPyGSR5o0")</f>
        <v>XWtp90busOyyBLPyGSR5o0</v>
      </c>
      <c r="B138" s="1">
        <f>IFERROR(__xludf.DUMMYFUNCTION("""COMPUTED_VALUE"""),137)</f>
        <v>137</v>
      </c>
      <c r="C138" s="1" t="str">
        <f>IFERROR(__xludf.DUMMYFUNCTION("""COMPUTED_VALUE"""),"DL137")</f>
        <v>DL137</v>
      </c>
      <c r="D138" s="2">
        <f>IFERROR(__xludf.DUMMYFUNCTION("""COMPUTED_VALUE"""),45371)</f>
        <v>45371</v>
      </c>
      <c r="E138" s="1" t="str">
        <f>IFERROR(__xludf.DUMMYFUNCTION("""COMPUTED_VALUE"""),"~Євген")</f>
        <v>~Євген</v>
      </c>
      <c r="F138" s="1">
        <f>IFERROR(__xludf.DUMMYFUNCTION("""COMPUTED_VALUE"""),424)</f>
        <v>424</v>
      </c>
      <c r="G138" s="1" t="str">
        <f>IFERROR(__xludf.DUMMYFUNCTION("""COMPUTED_VALUE"""),"Velvet Blanket Sheets")</f>
        <v>Velvet Blanket Sheets</v>
      </c>
      <c r="H138" s="1">
        <f>IFERROR(__xludf.DUMMYFUNCTION("""COMPUTED_VALUE"""),1)</f>
        <v>1</v>
      </c>
      <c r="I138" s="1"/>
      <c r="J138" s="1">
        <f>IFERROR(__xludf.DUMMYFUNCTION("""COMPUTED_VALUE"""),0.04)</f>
        <v>0.04</v>
      </c>
      <c r="K138" s="1">
        <f>IFERROR(__xludf.DUMMYFUNCTION("""COMPUTED_VALUE"""),8)</f>
        <v>8</v>
      </c>
      <c r="L138" s="1" t="str">
        <f>IFERROR(__xludf.DUMMYFUNCTION("""COMPUTED_VALUE"""),"Yes")</f>
        <v>Yes</v>
      </c>
      <c r="M138" s="1" t="str">
        <f>IFERROR(__xludf.DUMMYFUNCTION("""COMPUTED_VALUE"""),"Yes")</f>
        <v>Yes</v>
      </c>
      <c r="N138" s="1" t="str">
        <f>IFERROR(__xludf.DUMMYFUNCTION("""COMPUTED_VALUE"""),"CHINA")</f>
        <v>CHINA</v>
      </c>
      <c r="O138" s="1" t="str">
        <f>IFERROR(__xludf.DUMMYFUNCTION("""COMPUTED_VALUE"""),"Guangzhou")</f>
        <v>Guangzhou</v>
      </c>
      <c r="P138" s="1" t="str">
        <f>IFERROR(__xludf.DUMMYFUNCTION("""COMPUTED_VALUE"""),"South Africa")</f>
        <v>South Africa</v>
      </c>
      <c r="Q138" s="1" t="str">
        <f>IFERROR(__xludf.DUMMYFUNCTION("""COMPUTED_VALUE"""),"Cape Town")</f>
        <v>Cape Town</v>
      </c>
      <c r="R138" s="1" t="str">
        <f>IFERROR(__xludf.DUMMYFUNCTION("""COMPUTED_VALUE"""),"Air")</f>
        <v>Air</v>
      </c>
      <c r="S138" s="1" t="str">
        <f>IFERROR(__xludf.DUMMYFUNCTION("""COMPUTED_VALUE"""),"EXW")</f>
        <v>EXW</v>
      </c>
      <c r="T138" s="1" t="str">
        <f>IFERROR(__xludf.DUMMYFUNCTION("""COMPUTED_VALUE"""),"OBD LOGISTICS Co Ltd")</f>
        <v>OBD LOGISTICS Co Ltd</v>
      </c>
      <c r="U138" s="1" t="str">
        <f>IFERROR(__xludf.DUMMYFUNCTION("""COMPUTED_VALUE"""),"Humen Town, Dongguan, Guangdong Province, China, 523900")</f>
        <v>Humen Town, Dongguan, Guangdong Province, China, 523900</v>
      </c>
      <c r="V138" s="1" t="str">
        <f>IFERROR(__xludf.DUMMYFUNCTION("""COMPUTED_VALUE"""),"obdsales6@obdlogistics.com")</f>
        <v>obdsales6@obdlogistics.com</v>
      </c>
      <c r="W138" s="1"/>
      <c r="X138" s="1"/>
      <c r="Y138" s="1"/>
    </row>
    <row r="139" customHeight="1" spans="1:25">
      <c r="A139" s="1" t="str">
        <f>IFERROR(__xludf.DUMMYFUNCTION("""COMPUTED_VALUE"""),"d7FpJ7GBb38Vn4ITsB4yzI")</f>
        <v>d7FpJ7GBb38Vn4ITsB4yzI</v>
      </c>
      <c r="B139" s="1">
        <f>IFERROR(__xludf.DUMMYFUNCTION("""COMPUTED_VALUE"""),138)</f>
        <v>138</v>
      </c>
      <c r="C139" s="1" t="str">
        <f>IFERROR(__xludf.DUMMYFUNCTION("""COMPUTED_VALUE"""),"DL138")</f>
        <v>DL138</v>
      </c>
      <c r="D139" s="2">
        <f>IFERROR(__xludf.DUMMYFUNCTION("""COMPUTED_VALUE"""),45377)</f>
        <v>45377</v>
      </c>
      <c r="E139" s="1" t="str">
        <f>IFERROR(__xludf.DUMMYFUNCTION("""COMPUTED_VALUE"""),"TOP TECH CATERING")</f>
        <v>TOP TECH CATERING</v>
      </c>
      <c r="F139" s="1">
        <f>IFERROR(__xludf.DUMMYFUNCTION("""COMPUTED_VALUE"""),82)</f>
        <v>82</v>
      </c>
      <c r="G139" s="1" t="str">
        <f>IFERROR(__xludf.DUMMYFUNCTION("""COMPUTED_VALUE"""),"Catering Equipment")</f>
        <v>Catering Equipment</v>
      </c>
      <c r="H139" s="1">
        <f>IFERROR(__xludf.DUMMYFUNCTION("""COMPUTED_VALUE"""),140)</f>
        <v>140</v>
      </c>
      <c r="I139" s="1"/>
      <c r="J139" s="1">
        <f>IFERROR(__xludf.DUMMYFUNCTION("""COMPUTED_VALUE"""),68.08)</f>
        <v>68.08</v>
      </c>
      <c r="K139" s="1">
        <f>IFERROR(__xludf.DUMMYFUNCTION("""COMPUTED_VALUE"""),8940)</f>
        <v>8940</v>
      </c>
      <c r="L139" s="1" t="str">
        <f>IFERROR(__xludf.DUMMYFUNCTION("""COMPUTED_VALUE"""),"Yes")</f>
        <v>Yes</v>
      </c>
      <c r="M139" s="1" t="str">
        <f>IFERROR(__xludf.DUMMYFUNCTION("""COMPUTED_VALUE"""),"Yes")</f>
        <v>Yes</v>
      </c>
      <c r="N139" s="1" t="str">
        <f>IFERROR(__xludf.DUMMYFUNCTION("""COMPUTED_VALUE"""),"China")</f>
        <v>China</v>
      </c>
      <c r="O139" s="1" t="str">
        <f>IFERROR(__xludf.DUMMYFUNCTION("""COMPUTED_VALUE"""),"Shekou")</f>
        <v>Shekou</v>
      </c>
      <c r="P139" s="1" t="str">
        <f>IFERROR(__xludf.DUMMYFUNCTION("""COMPUTED_VALUE"""),"South Africa")</f>
        <v>South Africa</v>
      </c>
      <c r="Q139" s="1" t="str">
        <f>IFERROR(__xludf.DUMMYFUNCTION("""COMPUTED_VALUE"""),"Johannesburg")</f>
        <v>Johannesburg</v>
      </c>
      <c r="R139" s="1" t="str">
        <f>IFERROR(__xludf.DUMMYFUNCTION("""COMPUTED_VALUE"""),"Sea")</f>
        <v>Sea</v>
      </c>
      <c r="S139" s="1" t="str">
        <f>IFERROR(__xludf.DUMMYFUNCTION("""COMPUTED_VALUE"""),"EXW")</f>
        <v>EXW</v>
      </c>
      <c r="T139" s="1" t="str">
        <f>IFERROR(__xludf.DUMMYFUNCTION("""COMPUTED_VALUE"""),"OBD LOGISTICS CO LTD")</f>
        <v>OBD LOGISTICS CO LTD</v>
      </c>
      <c r="U139" s="1"/>
      <c r="V139" s="1"/>
      <c r="W139" s="1"/>
      <c r="X139" s="1"/>
      <c r="Y139" s="1"/>
    </row>
    <row r="140" customHeight="1" spans="1:25">
      <c r="A140" s="1" t="str">
        <f>IFERROR(__xludf.DUMMYFUNCTION("""COMPUTED_VALUE"""),"KRkGtMfMM3GagQJwHoHtB8")</f>
        <v>KRkGtMfMM3GagQJwHoHtB8</v>
      </c>
      <c r="B140" s="1">
        <f>IFERROR(__xludf.DUMMYFUNCTION("""COMPUTED_VALUE"""),139)</f>
        <v>139</v>
      </c>
      <c r="C140" s="1" t="str">
        <f>IFERROR(__xludf.DUMMYFUNCTION("""COMPUTED_VALUE"""),"DL139")</f>
        <v>DL139</v>
      </c>
      <c r="D140" s="2">
        <f>IFERROR(__xludf.DUMMYFUNCTION("""COMPUTED_VALUE"""),45377)</f>
        <v>45377</v>
      </c>
      <c r="E140" s="1" t="str">
        <f>IFERROR(__xludf.DUMMYFUNCTION("""COMPUTED_VALUE"""),"TOP TECH CATERING")</f>
        <v>TOP TECH CATERING</v>
      </c>
      <c r="F140" s="1">
        <f>IFERROR(__xludf.DUMMYFUNCTION("""COMPUTED_VALUE"""),82)</f>
        <v>82</v>
      </c>
      <c r="G140" s="1" t="str">
        <f>IFERROR(__xludf.DUMMYFUNCTION("""COMPUTED_VALUE"""),"Catering Equipment")</f>
        <v>Catering Equipment</v>
      </c>
      <c r="H140" s="1">
        <f>IFERROR(__xludf.DUMMYFUNCTION("""COMPUTED_VALUE"""),132)</f>
        <v>132</v>
      </c>
      <c r="I140" s="1"/>
      <c r="J140" s="1">
        <f>IFERROR(__xludf.DUMMYFUNCTION("""COMPUTED_VALUE"""),68.29)</f>
        <v>68.29</v>
      </c>
      <c r="K140" s="1">
        <f>IFERROR(__xludf.DUMMYFUNCTION("""COMPUTED_VALUE"""),10730)</f>
        <v>10730</v>
      </c>
      <c r="L140" s="1" t="str">
        <f>IFERROR(__xludf.DUMMYFUNCTION("""COMPUTED_VALUE"""),"Yes")</f>
        <v>Yes</v>
      </c>
      <c r="M140" s="1" t="str">
        <f>IFERROR(__xludf.DUMMYFUNCTION("""COMPUTED_VALUE"""),"Yes")</f>
        <v>Yes</v>
      </c>
      <c r="N140" s="1" t="str">
        <f>IFERROR(__xludf.DUMMYFUNCTION("""COMPUTED_VALUE"""),"China")</f>
        <v>China</v>
      </c>
      <c r="O140" s="1" t="str">
        <f>IFERROR(__xludf.DUMMYFUNCTION("""COMPUTED_VALUE"""),"Shenzhen")</f>
        <v>Shenzhen</v>
      </c>
      <c r="P140" s="1" t="str">
        <f>IFERROR(__xludf.DUMMYFUNCTION("""COMPUTED_VALUE"""),"South Africa")</f>
        <v>South Africa</v>
      </c>
      <c r="Q140" s="1" t="str">
        <f>IFERROR(__xludf.DUMMYFUNCTION("""COMPUTED_VALUE"""),"Johannesburg")</f>
        <v>Johannesburg</v>
      </c>
      <c r="R140" s="1" t="str">
        <f>IFERROR(__xludf.DUMMYFUNCTION("""COMPUTED_VALUE"""),"Sea")</f>
        <v>Sea</v>
      </c>
      <c r="S140" s="1" t="str">
        <f>IFERROR(__xludf.DUMMYFUNCTION("""COMPUTED_VALUE"""),"EXW")</f>
        <v>EXW</v>
      </c>
      <c r="T140" s="1" t="str">
        <f>IFERROR(__xludf.DUMMYFUNCTION("""COMPUTED_VALUE"""),"OBD LOGISTICS CO LTD")</f>
        <v>OBD LOGISTICS CO LTD</v>
      </c>
      <c r="U140" s="1" t="str">
        <f>IFERROR(__xludf.DUMMYFUNCTION("""COMPUTED_VALUE"""),"Humen Town, Dongguan, Guangdong Province, China, 523900")</f>
        <v>Humen Town, Dongguan, Guangdong Province, China, 523900</v>
      </c>
      <c r="V140" s="1"/>
      <c r="W140" s="1"/>
      <c r="X140" s="1"/>
      <c r="Y140" s="1"/>
    </row>
    <row r="141" customHeight="1" spans="1:25">
      <c r="A141" s="1" t="str">
        <f>IFERROR(__xludf.DUMMYFUNCTION("""COMPUTED_VALUE"""),"qJYJAxpXAvei8j2mqToWZR")</f>
        <v>qJYJAxpXAvei8j2mqToWZR</v>
      </c>
      <c r="B141" s="1">
        <f>IFERROR(__xludf.DUMMYFUNCTION("""COMPUTED_VALUE"""),140)</f>
        <v>140</v>
      </c>
      <c r="C141" s="1" t="str">
        <f>IFERROR(__xludf.DUMMYFUNCTION("""COMPUTED_VALUE"""),"DL140")</f>
        <v>DL140</v>
      </c>
      <c r="D141" s="2">
        <f>IFERROR(__xludf.DUMMYFUNCTION("""COMPUTED_VALUE"""),45369)</f>
        <v>45369</v>
      </c>
      <c r="E141" s="1" t="str">
        <f>IFERROR(__xludf.DUMMYFUNCTION("""COMPUTED_VALUE"""),"Wayne")</f>
        <v>Wayne</v>
      </c>
      <c r="F141" s="1">
        <f>IFERROR(__xludf.DUMMYFUNCTION("""COMPUTED_VALUE"""),421)</f>
        <v>421</v>
      </c>
      <c r="G141" s="1" t="str">
        <f>IFERROR(__xludf.DUMMYFUNCTION("""COMPUTED_VALUE"""),"Monitors")</f>
        <v>Monitors</v>
      </c>
      <c r="H141" s="1">
        <f>IFERROR(__xludf.DUMMYFUNCTION("""COMPUTED_VALUE"""),1)</f>
        <v>1</v>
      </c>
      <c r="I141" s="1"/>
      <c r="J141" s="1"/>
      <c r="K141" s="1">
        <f>IFERROR(__xludf.DUMMYFUNCTION("""COMPUTED_VALUE"""),24)</f>
        <v>24</v>
      </c>
      <c r="L141" s="1"/>
      <c r="M141" s="1"/>
      <c r="N141" s="1"/>
      <c r="O141" s="1"/>
      <c r="P141" s="1"/>
      <c r="Q141" s="1"/>
      <c r="R141" s="1" t="str">
        <f>IFERROR(__xludf.DUMMYFUNCTION("""COMPUTED_VALUE"""),"Air")</f>
        <v>Air</v>
      </c>
      <c r="S141" s="1" t="str">
        <f>IFERROR(__xludf.DUMMYFUNCTION("""COMPUTED_VALUE"""),"EXW")</f>
        <v>EXW</v>
      </c>
      <c r="T141" s="1"/>
      <c r="U141" s="1"/>
      <c r="V141" s="1"/>
      <c r="W141" s="1"/>
      <c r="X141" s="1"/>
      <c r="Y141" s="1"/>
    </row>
    <row r="142" customHeight="1" spans="1:25">
      <c r="A142" s="1" t="str">
        <f>IFERROR(__xludf.DUMMYFUNCTION("""COMPUTED_VALUE"""),"RPxcF0SecZtnbPWNWUJmOV")</f>
        <v>RPxcF0SecZtnbPWNWUJmOV</v>
      </c>
      <c r="B142" s="1">
        <f>IFERROR(__xludf.DUMMYFUNCTION("""COMPUTED_VALUE"""),141)</f>
        <v>141</v>
      </c>
      <c r="C142" s="1" t="str">
        <f>IFERROR(__xludf.DUMMYFUNCTION("""COMPUTED_VALUE"""),"DL141")</f>
        <v>DL141</v>
      </c>
      <c r="D142" s="2">
        <f>IFERROR(__xludf.DUMMYFUNCTION("""COMPUTED_VALUE"""),45371)</f>
        <v>45371</v>
      </c>
      <c r="E142" s="1" t="str">
        <f>IFERROR(__xludf.DUMMYFUNCTION("""COMPUTED_VALUE"""),"~Євген")</f>
        <v>~Євген</v>
      </c>
      <c r="F142" s="1">
        <f>IFERROR(__xludf.DUMMYFUNCTION("""COMPUTED_VALUE"""),424)</f>
        <v>424</v>
      </c>
      <c r="G142" s="1" t="str">
        <f>IFERROR(__xludf.DUMMYFUNCTION("""COMPUTED_VALUE"""),"Velvet Blanket Sheets")</f>
        <v>Velvet Blanket Sheets</v>
      </c>
      <c r="H142" s="1">
        <f>IFERROR(__xludf.DUMMYFUNCTION("""COMPUTED_VALUE"""),1)</f>
        <v>1</v>
      </c>
      <c r="I142" s="1"/>
      <c r="J142" s="1">
        <f>IFERROR(__xludf.DUMMYFUNCTION("""COMPUTED_VALUE"""),0.04)</f>
        <v>0.04</v>
      </c>
      <c r="K142" s="1">
        <f>IFERROR(__xludf.DUMMYFUNCTION("""COMPUTED_VALUE"""),4)</f>
        <v>4</v>
      </c>
      <c r="L142" s="1" t="str">
        <f>IFERROR(__xludf.DUMMYFUNCTION("""COMPUTED_VALUE"""),"Yes")</f>
        <v>Yes</v>
      </c>
      <c r="M142" s="1" t="str">
        <f>IFERROR(__xludf.DUMMYFUNCTION("""COMPUTED_VALUE"""),"Yes")</f>
        <v>Yes</v>
      </c>
      <c r="N142" s="1"/>
      <c r="O142" s="1"/>
      <c r="P142" s="1"/>
      <c r="Q142" s="1"/>
      <c r="R142" s="1" t="str">
        <f>IFERROR(__xludf.DUMMYFUNCTION("""COMPUTED_VALUE"""),"Air")</f>
        <v>Air</v>
      </c>
      <c r="S142" s="1" t="str">
        <f>IFERROR(__xludf.DUMMYFUNCTION("""COMPUTED_VALUE"""),"EXW")</f>
        <v>EXW</v>
      </c>
      <c r="T142" s="1" t="str">
        <f>IFERROR(__xludf.DUMMYFUNCTION("""COMPUTED_VALUE"""),"OBD LOGISTICS CO LTD")</f>
        <v>OBD LOGISTICS CO LTD</v>
      </c>
      <c r="U142" s="1" t="str">
        <f>IFERROR(__xludf.DUMMYFUNCTION("""COMPUTED_VALUE"""),"Address: The first floor of Building 2, No. 6, Xinxing Yiheng Road, Baisha, Humen 23DL121AIS581 Town, Dongguan, Guangdong")</f>
        <v>Address: The first floor of Building 2, No. 6, Xinxing Yiheng Road, Baisha, Humen 23DL121AIS581 Town, Dongguan, Guangdong</v>
      </c>
      <c r="V142" s="1" t="str">
        <f>IFERROR(__xludf.DUMMYFUNCTION("""COMPUTED_VALUE"""),"obdsales6@obdlogistics.com")</f>
        <v>obdsales6@obdlogistics.com</v>
      </c>
      <c r="W142" s="1"/>
      <c r="X142" s="1"/>
      <c r="Y142" s="1"/>
    </row>
    <row r="143" customHeight="1" spans="1:25">
      <c r="A143" s="1" t="str">
        <f>IFERROR(__xludf.DUMMYFUNCTION("""COMPUTED_VALUE"""),"918hzzeKvRqutlhRWCaD5Y")</f>
        <v>918hzzeKvRqutlhRWCaD5Y</v>
      </c>
      <c r="B143" s="1">
        <f>IFERROR(__xludf.DUMMYFUNCTION("""COMPUTED_VALUE"""),142)</f>
        <v>142</v>
      </c>
      <c r="C143" s="1" t="str">
        <f>IFERROR(__xludf.DUMMYFUNCTION("""COMPUTED_VALUE"""),"DL142")</f>
        <v>DL142</v>
      </c>
      <c r="D143" s="2">
        <f>IFERROR(__xludf.DUMMYFUNCTION("""COMPUTED_VALUE"""),45376)</f>
        <v>45376</v>
      </c>
      <c r="E143" s="1" t="str">
        <f>IFERROR(__xludf.DUMMYFUNCTION("""COMPUTED_VALUE"""),"Stancia")</f>
        <v>Stancia</v>
      </c>
      <c r="F143" s="1">
        <f>IFERROR(__xludf.DUMMYFUNCTION("""COMPUTED_VALUE"""),429)</f>
        <v>429</v>
      </c>
      <c r="G143" s="1" t="str">
        <f>IFERROR(__xludf.DUMMYFUNCTION("""COMPUTED_VALUE"""),"Pedicure Chairs")</f>
        <v>Pedicure Chairs</v>
      </c>
      <c r="H143" s="1"/>
      <c r="I143" s="1"/>
      <c r="J143" s="1">
        <f>IFERROR(__xludf.DUMMYFUNCTION("""COMPUTED_VALUE"""),1.42)</f>
        <v>1.42</v>
      </c>
      <c r="K143" s="1">
        <f>IFERROR(__xludf.DUMMYFUNCTION("""COMPUTED_VALUE"""),250)</f>
        <v>250</v>
      </c>
      <c r="L143" s="1"/>
      <c r="M143" s="1"/>
      <c r="N143" s="1"/>
      <c r="O143" s="1"/>
      <c r="P143" s="1"/>
      <c r="Q143" s="1"/>
      <c r="R143" s="1" t="str">
        <f>IFERROR(__xludf.DUMMYFUNCTION("""COMPUTED_VALUE"""),"Sea")</f>
        <v>Sea</v>
      </c>
      <c r="S143" s="1" t="str">
        <f>IFERROR(__xludf.DUMMYFUNCTION("""COMPUTED_VALUE"""),"FCA")</f>
        <v>FCA</v>
      </c>
      <c r="T143" s="1"/>
      <c r="U143" s="1"/>
      <c r="V143" s="1"/>
      <c r="W143" s="1"/>
      <c r="X143" s="1"/>
      <c r="Y143" s="1"/>
    </row>
    <row r="144" customHeight="1" spans="1:25">
      <c r="A144" s="1" t="str">
        <f>IFERROR(__xludf.DUMMYFUNCTION("""COMPUTED_VALUE"""),"5Qm4jhFb8eWTZhzQUkvQzU")</f>
        <v>5Qm4jhFb8eWTZhzQUkvQzU</v>
      </c>
      <c r="B144" s="1">
        <f>IFERROR(__xludf.DUMMYFUNCTION("""COMPUTED_VALUE"""),143)</f>
        <v>143</v>
      </c>
      <c r="C144" s="1" t="str">
        <f>IFERROR(__xludf.DUMMYFUNCTION("""COMPUTED_VALUE"""),"DL143")</f>
        <v>DL143</v>
      </c>
      <c r="D144" s="2">
        <f>IFERROR(__xludf.DUMMYFUNCTION("""COMPUTED_VALUE"""),45379)</f>
        <v>45379</v>
      </c>
      <c r="E144" s="1" t="str">
        <f>IFERROR(__xludf.DUMMYFUNCTION("""COMPUTED_VALUE"""),"KONE AND JC")</f>
        <v>KONE AND JC</v>
      </c>
      <c r="F144" s="1">
        <f>IFERROR(__xludf.DUMMYFUNCTION("""COMPUTED_VALUE"""),121)</f>
        <v>121</v>
      </c>
      <c r="G144" s="1" t="str">
        <f>IFERROR(__xludf.DUMMYFUNCTION("""COMPUTED_VALUE"""),"Laptop")</f>
        <v>Laptop</v>
      </c>
      <c r="H144" s="1">
        <f>IFERROR(__xludf.DUMMYFUNCTION("""COMPUTED_VALUE"""),1)</f>
        <v>1</v>
      </c>
      <c r="I144" s="1"/>
      <c r="J144" s="1">
        <f>IFERROR(__xludf.DUMMYFUNCTION("""COMPUTED_VALUE"""),0.01)</f>
        <v>0.01</v>
      </c>
      <c r="K144" s="1">
        <f>IFERROR(__xludf.DUMMYFUNCTION("""COMPUTED_VALUE"""),2)</f>
        <v>2</v>
      </c>
      <c r="L144" s="1" t="str">
        <f>IFERROR(__xludf.DUMMYFUNCTION("""COMPUTED_VALUE"""),"Yes")</f>
        <v>Yes</v>
      </c>
      <c r="M144" s="1" t="str">
        <f>IFERROR(__xludf.DUMMYFUNCTION("""COMPUTED_VALUE"""),"Yes")</f>
        <v>Yes</v>
      </c>
      <c r="N144" s="1" t="str">
        <f>IFERROR(__xludf.DUMMYFUNCTION("""COMPUTED_VALUE"""),"South Africa")</f>
        <v>South Africa</v>
      </c>
      <c r="O144" s="1" t="str">
        <f>IFERROR(__xludf.DUMMYFUNCTION("""COMPUTED_VALUE"""),"Pretoria")</f>
        <v>Pretoria</v>
      </c>
      <c r="P144" s="1" t="str">
        <f>IFERROR(__xludf.DUMMYFUNCTION("""COMPUTED_VALUE"""),"Angola")</f>
        <v>Angola</v>
      </c>
      <c r="Q144" s="1" t="str">
        <f>IFERROR(__xludf.DUMMYFUNCTION("""COMPUTED_VALUE"""),"Luanda")</f>
        <v>Luanda</v>
      </c>
      <c r="R144" s="1" t="str">
        <f>IFERROR(__xludf.DUMMYFUNCTION("""COMPUTED_VALUE"""),"Air")</f>
        <v>Air</v>
      </c>
      <c r="S144" s="1" t="str">
        <f>IFERROR(__xludf.DUMMYFUNCTION("""COMPUTED_VALUE"""),"FCA")</f>
        <v>FCA</v>
      </c>
      <c r="T144" s="1" t="str">
        <f>IFERROR(__xludf.DUMMYFUNCTION("""COMPUTED_VALUE"""),"Asia Direct")</f>
        <v>Asia Direct</v>
      </c>
      <c r="U144" s="1" t="str">
        <f>IFERROR(__xludf.DUMMYFUNCTION("""COMPUTED_VALUE"""),"2 Anemoon Rd, Glen marais, Kempton Park, 1619, South Africa")</f>
        <v>2 Anemoon Rd, Glen marais, Kempton Park, 1619, South Africa</v>
      </c>
      <c r="V144" s="1" t="str">
        <f>IFERROR(__xludf.DUMMYFUNCTION("""COMPUTED_VALUE"""),"estimates.za@asiadirect.africa")</f>
        <v>estimates.za@asiadirect.africa</v>
      </c>
      <c r="W144" s="1"/>
      <c r="X144" s="1"/>
      <c r="Y144" s="1"/>
    </row>
    <row r="145" customHeight="1" spans="1: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customHeight="1" spans="1:25">
      <c r="A146" s="1" t="str">
        <f>IFERROR(__xludf.DUMMYFUNCTION("""COMPUTED_VALUE"""),"2ImHuVRVPfa1rgCSejkaVt")</f>
        <v>2ImHuVRVPfa1rgCSejkaVt</v>
      </c>
      <c r="B146" s="1">
        <f>IFERROR(__xludf.DUMMYFUNCTION("""COMPUTED_VALUE"""),145)</f>
        <v>145</v>
      </c>
      <c r="C146" s="1" t="str">
        <f>IFERROR(__xludf.DUMMYFUNCTION("""COMPUTED_VALUE"""),"DL145")</f>
        <v>DL145</v>
      </c>
      <c r="D146" s="2">
        <f>IFERROR(__xludf.DUMMYFUNCTION("""COMPUTED_VALUE"""),45386)</f>
        <v>45386</v>
      </c>
      <c r="E146" s="1" t="str">
        <f>IFERROR(__xludf.DUMMYFUNCTION("""COMPUTED_VALUE"""),"VYKON (PTY) LTD")</f>
        <v>VYKON (PTY) LTD</v>
      </c>
      <c r="F146" s="1">
        <f>IFERROR(__xludf.DUMMYFUNCTION("""COMPUTED_VALUE"""),36)</f>
        <v>36</v>
      </c>
      <c r="G146" s="1" t="str">
        <f>IFERROR(__xludf.DUMMYFUNCTION("""COMPUTED_VALUE"""),"Steel Tubes")</f>
        <v>Steel Tubes</v>
      </c>
      <c r="H146" s="1">
        <f>IFERROR(__xludf.DUMMYFUNCTION("""COMPUTED_VALUE"""),1)</f>
        <v>1</v>
      </c>
      <c r="I146" s="1"/>
      <c r="J146" s="1">
        <f>IFERROR(__xludf.DUMMYFUNCTION("""COMPUTED_VALUE"""),0.1)</f>
        <v>0.1</v>
      </c>
      <c r="K146" s="1">
        <f>IFERROR(__xludf.DUMMYFUNCTION("""COMPUTED_VALUE"""),26)</f>
        <v>26</v>
      </c>
      <c r="L146" s="1" t="str">
        <f>IFERROR(__xludf.DUMMYFUNCTION("""COMPUTED_VALUE"""),"Yes")</f>
        <v>Yes</v>
      </c>
      <c r="M146" s="1" t="str">
        <f>IFERROR(__xludf.DUMMYFUNCTION("""COMPUTED_VALUE"""),"Yes")</f>
        <v>Yes</v>
      </c>
      <c r="N146" s="1" t="str">
        <f>IFERROR(__xludf.DUMMYFUNCTION("""COMPUTED_VALUE"""),"China")</f>
        <v>China</v>
      </c>
      <c r="O146" s="1" t="str">
        <f>IFERROR(__xludf.DUMMYFUNCTION("""COMPUTED_VALUE"""),"Guangzhou")</f>
        <v>Guangzhou</v>
      </c>
      <c r="P146" s="1" t="str">
        <f>IFERROR(__xludf.DUMMYFUNCTION("""COMPUTED_VALUE"""),"South Africa")</f>
        <v>South Africa</v>
      </c>
      <c r="Q146" s="1" t="str">
        <f>IFERROR(__xludf.DUMMYFUNCTION("""COMPUTED_VALUE"""),"Johannesburg")</f>
        <v>Johannesburg</v>
      </c>
      <c r="R146" s="1" t="str">
        <f>IFERROR(__xludf.DUMMYFUNCTION("""COMPUTED_VALUE"""),"Sea")</f>
        <v>Sea</v>
      </c>
      <c r="S146" s="1" t="str">
        <f>IFERROR(__xludf.DUMMYFUNCTION("""COMPUTED_VALUE"""),"FCA")</f>
        <v>FCA</v>
      </c>
      <c r="T146" s="1" t="str">
        <f>IFERROR(__xludf.DUMMYFUNCTION("""COMPUTED_VALUE"""),"OBD LOGISTICS")</f>
        <v>OBD LOGISTICS</v>
      </c>
      <c r="U146" s="1" t="str">
        <f>IFERROR(__xludf.DUMMYFUNCTION("""COMPUTED_VALUE"""),"first floor of Building 2, No. 6, Xinxing Yiheng Road, Baisha, Humen Town, Dongguan, Guangdong")</f>
        <v>first floor of Building 2, No. 6, Xinxing Yiheng Road, Baisha, Humen Town, Dongguan, Guangdong</v>
      </c>
      <c r="V146" s="1"/>
      <c r="W146" s="1"/>
      <c r="X146" s="1"/>
      <c r="Y146" s="1"/>
    </row>
    <row r="147" customHeight="1" spans="1:25">
      <c r="A147" s="1" t="str">
        <f>IFERROR(__xludf.DUMMYFUNCTION("""COMPUTED_VALUE"""),"SXrjFfNxRfAA7SsYA4UZ8a")</f>
        <v>SXrjFfNxRfAA7SsYA4UZ8a</v>
      </c>
      <c r="B147" s="1">
        <f>IFERROR(__xludf.DUMMYFUNCTION("""COMPUTED_VALUE"""),146)</f>
        <v>146</v>
      </c>
      <c r="C147" s="1" t="str">
        <f>IFERROR(__xludf.DUMMYFUNCTION("""COMPUTED_VALUE"""),"DL146")</f>
        <v>DL146</v>
      </c>
      <c r="D147" s="2">
        <f>IFERROR(__xludf.DUMMYFUNCTION("""COMPUTED_VALUE"""),45385)</f>
        <v>45385</v>
      </c>
      <c r="E147" s="1" t="str">
        <f>IFERROR(__xludf.DUMMYFUNCTION("""COMPUTED_VALUE"""),"Nkosi Sandile")</f>
        <v>Nkosi Sandile</v>
      </c>
      <c r="F147" s="1">
        <f>IFERROR(__xludf.DUMMYFUNCTION("""COMPUTED_VALUE"""),437)</f>
        <v>437</v>
      </c>
      <c r="G147" s="1" t="str">
        <f>IFERROR(__xludf.DUMMYFUNCTION("""COMPUTED_VALUE"""),"Clothes")</f>
        <v>Clothes</v>
      </c>
      <c r="H147" s="1">
        <f>IFERROR(__xludf.DUMMYFUNCTION("""COMPUTED_VALUE"""),5)</f>
        <v>5</v>
      </c>
      <c r="I147" s="1"/>
      <c r="J147" s="1">
        <f>IFERROR(__xludf.DUMMYFUNCTION("""COMPUTED_VALUE"""),2.6)</f>
        <v>2.6</v>
      </c>
      <c r="K147" s="1">
        <f>IFERROR(__xludf.DUMMYFUNCTION("""COMPUTED_VALUE"""),800)</f>
        <v>800</v>
      </c>
      <c r="L147" s="1" t="str">
        <f>IFERROR(__xludf.DUMMYFUNCTION("""COMPUTED_VALUE"""),"Yes")</f>
        <v>Yes</v>
      </c>
      <c r="M147" s="1" t="str">
        <f>IFERROR(__xludf.DUMMYFUNCTION("""COMPUTED_VALUE"""),"Yes")</f>
        <v>Yes</v>
      </c>
      <c r="N147" s="1" t="str">
        <f>IFERROR(__xludf.DUMMYFUNCTION("""COMPUTED_VALUE"""),"China")</f>
        <v>China</v>
      </c>
      <c r="O147" s="1" t="str">
        <f>IFERROR(__xludf.DUMMYFUNCTION("""COMPUTED_VALUE"""),"Guangzhou")</f>
        <v>Guangzhou</v>
      </c>
      <c r="P147" s="1" t="str">
        <f>IFERROR(__xludf.DUMMYFUNCTION("""COMPUTED_VALUE"""),"South Africa")</f>
        <v>South Africa</v>
      </c>
      <c r="Q147" s="1" t="str">
        <f>IFERROR(__xludf.DUMMYFUNCTION("""COMPUTED_VALUE"""),"Johannesburg")</f>
        <v>Johannesburg</v>
      </c>
      <c r="R147" s="1" t="str">
        <f>IFERROR(__xludf.DUMMYFUNCTION("""COMPUTED_VALUE"""),"Sea")</f>
        <v>Sea</v>
      </c>
      <c r="S147" s="1" t="str">
        <f>IFERROR(__xludf.DUMMYFUNCTION("""COMPUTED_VALUE"""),"EXW")</f>
        <v>EXW</v>
      </c>
      <c r="T147" s="1" t="str">
        <f>IFERROR(__xludf.DUMMYFUNCTION("""COMPUTED_VALUE"""),"OBD LOGISTICS CO LTD")</f>
        <v>OBD LOGISTICS CO LTD</v>
      </c>
      <c r="U147" s="1"/>
      <c r="V147" s="1"/>
      <c r="W147" s="1"/>
      <c r="X147" s="1"/>
      <c r="Y147" s="1"/>
    </row>
    <row r="148" customHeight="1" spans="1:25">
      <c r="A148" s="1" t="str">
        <f>IFERROR(__xludf.DUMMYFUNCTION("""COMPUTED_VALUE"""),"LRAFnIvDh94V0J0BHC824a")</f>
        <v>LRAFnIvDh94V0J0BHC824a</v>
      </c>
      <c r="B148" s="1">
        <f>IFERROR(__xludf.DUMMYFUNCTION("""COMPUTED_VALUE"""),147)</f>
        <v>147</v>
      </c>
      <c r="C148" s="1" t="str">
        <f>IFERROR(__xludf.DUMMYFUNCTION("""COMPUTED_VALUE"""),"DL147")</f>
        <v>DL147</v>
      </c>
      <c r="D148" s="2">
        <f>IFERROR(__xludf.DUMMYFUNCTION("""COMPUTED_VALUE"""),45401)</f>
        <v>45401</v>
      </c>
      <c r="E148" s="1" t="str">
        <f>IFERROR(__xludf.DUMMYFUNCTION("""COMPUTED_VALUE"""),"Jimmy Zinhumwe")</f>
        <v>Jimmy Zinhumwe</v>
      </c>
      <c r="F148" s="1">
        <f>IFERROR(__xludf.DUMMYFUNCTION("""COMPUTED_VALUE"""),376)</f>
        <v>376</v>
      </c>
      <c r="G148" s="1" t="str">
        <f>IFERROR(__xludf.DUMMYFUNCTION("""COMPUTED_VALUE"""),"security locks")</f>
        <v>security locks</v>
      </c>
      <c r="H148" s="1">
        <f>IFERROR(__xludf.DUMMYFUNCTION("""COMPUTED_VALUE"""),3)</f>
        <v>3</v>
      </c>
      <c r="I148" s="1"/>
      <c r="J148" s="1">
        <f>IFERROR(__xludf.DUMMYFUNCTION("""COMPUTED_VALUE"""),0.12)</f>
        <v>0.12</v>
      </c>
      <c r="K148" s="1">
        <f>IFERROR(__xludf.DUMMYFUNCTION("""COMPUTED_VALUE"""),28)</f>
        <v>28</v>
      </c>
      <c r="L148" s="1" t="str">
        <f>IFERROR(__xludf.DUMMYFUNCTION("""COMPUTED_VALUE"""),"Yes")</f>
        <v>Yes</v>
      </c>
      <c r="M148" s="1" t="str">
        <f>IFERROR(__xludf.DUMMYFUNCTION("""COMPUTED_VALUE"""),"Yes")</f>
        <v>Yes</v>
      </c>
      <c r="N148" s="1" t="str">
        <f>IFERROR(__xludf.DUMMYFUNCTION("""COMPUTED_VALUE"""),"China")</f>
        <v>China</v>
      </c>
      <c r="O148" s="1" t="str">
        <f>IFERROR(__xludf.DUMMYFUNCTION("""COMPUTED_VALUE"""),"Guangzhou")</f>
        <v>Guangzhou</v>
      </c>
      <c r="P148" s="1" t="str">
        <f>IFERROR(__xludf.DUMMYFUNCTION("""COMPUTED_VALUE"""),"South Africa")</f>
        <v>South Africa</v>
      </c>
      <c r="Q148" s="1" t="str">
        <f>IFERROR(__xludf.DUMMYFUNCTION("""COMPUTED_VALUE"""),"Kempton Park")</f>
        <v>Kempton Park</v>
      </c>
      <c r="R148" s="1" t="str">
        <f>IFERROR(__xludf.DUMMYFUNCTION("""COMPUTED_VALUE"""),"Sea")</f>
        <v>Sea</v>
      </c>
      <c r="S148" s="1" t="str">
        <f>IFERROR(__xludf.DUMMYFUNCTION("""COMPUTED_VALUE"""),"EXW")</f>
        <v>EXW</v>
      </c>
      <c r="T148" s="1" t="str">
        <f>IFERROR(__xludf.DUMMYFUNCTION("""COMPUTED_VALUE"""),"OBD Logigstics Co Ltd")</f>
        <v>OBD Logigstics Co Ltd</v>
      </c>
      <c r="U148" s="1" t="str">
        <f>IFERROR(__xludf.DUMMYFUNCTION("""COMPUTED_VALUE"""),"first floor of Building 2, No. 6, Xinxing Yiheng Road, Baisha, Humen Town, Dongguan, Guangdong")</f>
        <v>first floor of Building 2, No. 6, Xinxing Yiheng Road, Baisha, Humen Town, Dongguan, Guangdong</v>
      </c>
      <c r="V148" s="1"/>
      <c r="W148" s="1"/>
      <c r="X148" s="1"/>
      <c r="Y148" s="1"/>
    </row>
    <row r="149" customHeight="1" spans="1: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customHeight="1" spans="1:25">
      <c r="A150" s="1" t="str">
        <f>IFERROR(__xludf.DUMMYFUNCTION("""COMPUTED_VALUE"""),"w1PYuNmGrGaebIstavrDHe")</f>
        <v>w1PYuNmGrGaebIstavrDHe</v>
      </c>
      <c r="B150" s="1">
        <f>IFERROR(__xludf.DUMMYFUNCTION("""COMPUTED_VALUE"""),149)</f>
        <v>149</v>
      </c>
      <c r="C150" s="1" t="str">
        <f>IFERROR(__xludf.DUMMYFUNCTION("""COMPUTED_VALUE"""),"DL149")</f>
        <v>DL149</v>
      </c>
      <c r="D150" s="2">
        <f>IFERROR(__xludf.DUMMYFUNCTION("""COMPUTED_VALUE"""),45439)</f>
        <v>45439</v>
      </c>
      <c r="E150" s="1" t="str">
        <f>IFERROR(__xludf.DUMMYFUNCTION("""COMPUTED_VALUE"""),"Brad Gift Mokgalaka")</f>
        <v>Brad Gift Mokgalaka</v>
      </c>
      <c r="F150" s="1">
        <f>IFERROR(__xludf.DUMMYFUNCTION("""COMPUTED_VALUE"""),156)</f>
        <v>156</v>
      </c>
      <c r="G150" s="1" t="str">
        <f>IFERROR(__xludf.DUMMYFUNCTION("""COMPUTED_VALUE"""),"Speakers")</f>
        <v>Speakers</v>
      </c>
      <c r="H150" s="1">
        <f>IFERROR(__xludf.DUMMYFUNCTION("""COMPUTED_VALUE"""),11)</f>
        <v>11</v>
      </c>
      <c r="I150" s="1"/>
      <c r="J150" s="1">
        <f>IFERROR(__xludf.DUMMYFUNCTION("""COMPUTED_VALUE"""),0.2)</f>
        <v>0.2</v>
      </c>
      <c r="K150" s="1">
        <f>IFERROR(__xludf.DUMMYFUNCTION("""COMPUTED_VALUE"""),126)</f>
        <v>126</v>
      </c>
      <c r="L150" s="1" t="str">
        <f>IFERROR(__xludf.DUMMYFUNCTION("""COMPUTED_VALUE"""),"Yes")</f>
        <v>Yes</v>
      </c>
      <c r="M150" s="1" t="str">
        <f>IFERROR(__xludf.DUMMYFUNCTION("""COMPUTED_VALUE"""),"Yes")</f>
        <v>Yes</v>
      </c>
      <c r="N150" s="1" t="str">
        <f>IFERROR(__xludf.DUMMYFUNCTION("""COMPUTED_VALUE"""),"Cihina")</f>
        <v>Cihina</v>
      </c>
      <c r="O150" s="1" t="str">
        <f>IFERROR(__xludf.DUMMYFUNCTION("""COMPUTED_VALUE"""),"Guangdong")</f>
        <v>Guangdong</v>
      </c>
      <c r="P150" s="1" t="str">
        <f>IFERROR(__xludf.DUMMYFUNCTION("""COMPUTED_VALUE"""),"South Africa")</f>
        <v>South Africa</v>
      </c>
      <c r="Q150" s="1" t="str">
        <f>IFERROR(__xludf.DUMMYFUNCTION("""COMPUTED_VALUE"""),"Johannesburg")</f>
        <v>Johannesburg</v>
      </c>
      <c r="R150" s="1" t="str">
        <f>IFERROR(__xludf.DUMMYFUNCTION("""COMPUTED_VALUE"""),"Sea")</f>
        <v>Sea</v>
      </c>
      <c r="S150" s="1" t="str">
        <f>IFERROR(__xludf.DUMMYFUNCTION("""COMPUTED_VALUE"""),"FCA")</f>
        <v>FCA</v>
      </c>
      <c r="T150" s="1" t="str">
        <f>IFERROR(__xludf.DUMMYFUNCTION("""COMPUTED_VALUE"""),"OBD LOGISTICS CO LTD")</f>
        <v>OBD LOGISTICS CO LTD</v>
      </c>
      <c r="U150" s="1" t="str">
        <f>IFERROR(__xludf.DUMMYFUNCTION("""COMPUTED_VALUE"""),"first floor of Building 2, No. 6, Xinxing Yiheng Road, Baisha, Humen Town, Dongguan, Guangdong")</f>
        <v>first floor of Building 2, No. 6, Xinxing Yiheng Road, Baisha, Humen Town, Dongguan, Guangdong</v>
      </c>
      <c r="V150" s="1" t="str">
        <f>IFERROR(__xludf.DUMMYFUNCTION("""COMPUTED_VALUE"""),"obdsales6@obdlogistics.com")</f>
        <v>obdsales6@obdlogistics.com</v>
      </c>
      <c r="W150" s="1">
        <f>IFERROR(__xludf.DUMMYFUNCTION("""COMPUTED_VALUE"""),15818413747)</f>
        <v>15818413747</v>
      </c>
      <c r="X150" s="1"/>
      <c r="Y150" s="1"/>
    </row>
    <row r="151" customHeight="1" spans="1:25">
      <c r="A151" s="1" t="str">
        <f>IFERROR(__xludf.DUMMYFUNCTION("""COMPUTED_VALUE"""),"fKH8z5YJ1duU6FnZRPD5wI")</f>
        <v>fKH8z5YJ1duU6FnZRPD5wI</v>
      </c>
      <c r="B151" s="1">
        <f>IFERROR(__xludf.DUMMYFUNCTION("""COMPUTED_VALUE"""),150)</f>
        <v>150</v>
      </c>
      <c r="C151" s="1" t="str">
        <f>IFERROR(__xludf.DUMMYFUNCTION("""COMPUTED_VALUE"""),"DL150")</f>
        <v>DL150</v>
      </c>
      <c r="D151" s="2">
        <f>IFERROR(__xludf.DUMMYFUNCTION("""COMPUTED_VALUE"""),45370)</f>
        <v>45370</v>
      </c>
      <c r="E151" s="1" t="str">
        <f>IFERROR(__xludf.DUMMYFUNCTION("""COMPUTED_VALUE"""),"Greatcon (PTY) Ltd")</f>
        <v>Greatcon (PTY) Ltd</v>
      </c>
      <c r="F151" s="1">
        <f>IFERROR(__xludf.DUMMYFUNCTION("""COMPUTED_VALUE"""),420)</f>
        <v>420</v>
      </c>
      <c r="G151" s="1" t="str">
        <f>IFERROR(__xludf.DUMMYFUNCTION("""COMPUTED_VALUE"""),"Steel Pipes")</f>
        <v>Steel Pipes</v>
      </c>
      <c r="H151" s="1">
        <f>IFERROR(__xludf.DUMMYFUNCTION("""COMPUTED_VALUE"""),10)</f>
        <v>10</v>
      </c>
      <c r="I151" s="1"/>
      <c r="J151" s="1">
        <f>IFERROR(__xludf.DUMMYFUNCTION("""COMPUTED_VALUE"""),30)</f>
        <v>30</v>
      </c>
      <c r="K151" s="1">
        <f>IFERROR(__xludf.DUMMYFUNCTION("""COMPUTED_VALUE"""),10360)</f>
        <v>10360</v>
      </c>
      <c r="L151" s="1" t="str">
        <f>IFERROR(__xludf.DUMMYFUNCTION("""COMPUTED_VALUE"""),"Yes")</f>
        <v>Yes</v>
      </c>
      <c r="M151" s="1" t="str">
        <f>IFERROR(__xludf.DUMMYFUNCTION("""COMPUTED_VALUE"""),"Yes")</f>
        <v>Yes</v>
      </c>
      <c r="N151" s="1" t="str">
        <f>IFERROR(__xludf.DUMMYFUNCTION("""COMPUTED_VALUE"""),"China")</f>
        <v>China</v>
      </c>
      <c r="O151" s="1" t="str">
        <f>IFERROR(__xludf.DUMMYFUNCTION("""COMPUTED_VALUE"""),"Guangzhou")</f>
        <v>Guangzhou</v>
      </c>
      <c r="P151" s="1" t="str">
        <f>IFERROR(__xludf.DUMMYFUNCTION("""COMPUTED_VALUE"""),"South Africa")</f>
        <v>South Africa</v>
      </c>
      <c r="Q151" s="1" t="str">
        <f>IFERROR(__xludf.DUMMYFUNCTION("""COMPUTED_VALUE"""),"Durban")</f>
        <v>Durban</v>
      </c>
      <c r="R151" s="1" t="str">
        <f>IFERROR(__xludf.DUMMYFUNCTION("""COMPUTED_VALUE"""),"Sea")</f>
        <v>Sea</v>
      </c>
      <c r="S151" s="1" t="str">
        <f>IFERROR(__xludf.DUMMYFUNCTION("""COMPUTED_VALUE"""),"FOB")</f>
        <v>FOB</v>
      </c>
      <c r="T151" s="1" t="str">
        <f>IFERROR(__xludf.DUMMYFUNCTION("""COMPUTED_VALUE"""),"shenzhen Nimbus")</f>
        <v>shenzhen Nimbus</v>
      </c>
      <c r="U151" s="1"/>
      <c r="V151" s="1"/>
      <c r="W151" s="1"/>
      <c r="X151" s="1"/>
      <c r="Y151" s="1"/>
    </row>
    <row r="152" customHeight="1" spans="1:25">
      <c r="A152" s="1" t="str">
        <f>IFERROR(__xludf.DUMMYFUNCTION("""COMPUTED_VALUE"""),"Jzvxd6SVSCdLaJxXM58EB4")</f>
        <v>Jzvxd6SVSCdLaJxXM58EB4</v>
      </c>
      <c r="B152" s="1">
        <f>IFERROR(__xludf.DUMMYFUNCTION("""COMPUTED_VALUE"""),151)</f>
        <v>151</v>
      </c>
      <c r="C152" s="1" t="str">
        <f>IFERROR(__xludf.DUMMYFUNCTION("""COMPUTED_VALUE"""),"DL151")</f>
        <v>DL151</v>
      </c>
      <c r="D152" s="2">
        <f>IFERROR(__xludf.DUMMYFUNCTION("""COMPUTED_VALUE"""),45387)</f>
        <v>45387</v>
      </c>
      <c r="E152" s="1" t="str">
        <f>IFERROR(__xludf.DUMMYFUNCTION("""COMPUTED_VALUE"""),"Brent Badenhorst")</f>
        <v>Brent Badenhorst</v>
      </c>
      <c r="F152" s="1">
        <f>IFERROR(__xludf.DUMMYFUNCTION("""COMPUTED_VALUE"""),152)</f>
        <v>152</v>
      </c>
      <c r="G152" s="1" t="str">
        <f>IFERROR(__xludf.DUMMYFUNCTION("""COMPUTED_VALUE"""),"Webbing Straps")</f>
        <v>Webbing Straps</v>
      </c>
      <c r="H152" s="1"/>
      <c r="I152" s="1"/>
      <c r="J152" s="1">
        <f>IFERROR(__xludf.DUMMYFUNCTION("""COMPUTED_VALUE"""),0.6)</f>
        <v>0.6</v>
      </c>
      <c r="K152" s="1">
        <f>IFERROR(__xludf.DUMMYFUNCTION("""COMPUTED_VALUE"""),312)</f>
        <v>312</v>
      </c>
      <c r="L152" s="1"/>
      <c r="M152" s="1"/>
      <c r="N152" s="1"/>
      <c r="O152" s="1"/>
      <c r="P152" s="1"/>
      <c r="Q152" s="1"/>
      <c r="R152" s="1" t="str">
        <f>IFERROR(__xludf.DUMMYFUNCTION("""COMPUTED_VALUE"""),"Sea")</f>
        <v>Sea</v>
      </c>
      <c r="S152" s="1" t="str">
        <f>IFERROR(__xludf.DUMMYFUNCTION("""COMPUTED_VALUE"""),"EXW")</f>
        <v>EXW</v>
      </c>
      <c r="T152" s="1"/>
      <c r="U152" s="1"/>
      <c r="V152" s="1"/>
      <c r="W152" s="1"/>
      <c r="X152" s="1"/>
      <c r="Y152" s="1"/>
    </row>
    <row r="153" customHeight="1" spans="1:25">
      <c r="A153" s="1" t="str">
        <f>IFERROR(__xludf.DUMMYFUNCTION("""COMPUTED_VALUE"""),"UqOWuscCz35ZYnjWiKtxke")</f>
        <v>UqOWuscCz35ZYnjWiKtxke</v>
      </c>
      <c r="B153" s="1">
        <f>IFERROR(__xludf.DUMMYFUNCTION("""COMPUTED_VALUE"""),152)</f>
        <v>152</v>
      </c>
      <c r="C153" s="1" t="str">
        <f>IFERROR(__xludf.DUMMYFUNCTION("""COMPUTED_VALUE"""),"DL152")</f>
        <v>DL152</v>
      </c>
      <c r="D153" s="2">
        <f>IFERROR(__xludf.DUMMYFUNCTION("""COMPUTED_VALUE"""),45384)</f>
        <v>45384</v>
      </c>
      <c r="E153" s="1" t="str">
        <f>IFERROR(__xludf.DUMMYFUNCTION("""COMPUTED_VALUE"""),"Mpumatech Stainless Tube (Pty) Ltd")</f>
        <v>Mpumatech Stainless Tube (Pty) Ltd</v>
      </c>
      <c r="F153" s="1">
        <f>IFERROR(__xludf.DUMMYFUNCTION("""COMPUTED_VALUE"""),414)</f>
        <v>414</v>
      </c>
      <c r="G153" s="1" t="str">
        <f>IFERROR(__xludf.DUMMYFUNCTION("""COMPUTED_VALUE"""),"V Belts")</f>
        <v>V Belts</v>
      </c>
      <c r="H153" s="1">
        <f>IFERROR(__xludf.DUMMYFUNCTION("""COMPUTED_VALUE"""),2)</f>
        <v>2</v>
      </c>
      <c r="I153" s="1"/>
      <c r="J153" s="1">
        <f>IFERROR(__xludf.DUMMYFUNCTION("""COMPUTED_VALUE"""),0.12)</f>
        <v>0.12</v>
      </c>
      <c r="K153" s="1">
        <f>IFERROR(__xludf.DUMMYFUNCTION("""COMPUTED_VALUE"""),25)</f>
        <v>25</v>
      </c>
      <c r="L153" s="1"/>
      <c r="M153" s="1"/>
      <c r="N153" s="1"/>
      <c r="O153" s="1"/>
      <c r="P153" s="1"/>
      <c r="Q153" s="1"/>
      <c r="R153" s="1" t="str">
        <f>IFERROR(__xludf.DUMMYFUNCTION("""COMPUTED_VALUE"""),"Air")</f>
        <v>Air</v>
      </c>
      <c r="S153" s="1" t="str">
        <f>IFERROR(__xludf.DUMMYFUNCTION("""COMPUTED_VALUE"""),"EXW")</f>
        <v>EXW</v>
      </c>
      <c r="T153" s="1"/>
      <c r="U153" s="1"/>
      <c r="V153" s="1"/>
      <c r="W153" s="1"/>
      <c r="X153" s="1"/>
      <c r="Y153" s="1"/>
    </row>
    <row r="154" customHeight="1" spans="1:25">
      <c r="A154" s="1" t="str">
        <f>IFERROR(__xludf.DUMMYFUNCTION("""COMPUTED_VALUE"""),"iXGG2nbfqpJZg7yADKq5es")</f>
        <v>iXGG2nbfqpJZg7yADKq5es</v>
      </c>
      <c r="B154" s="1">
        <f>IFERROR(__xludf.DUMMYFUNCTION("""COMPUTED_VALUE"""),153)</f>
        <v>153</v>
      </c>
      <c r="C154" s="1" t="str">
        <f>IFERROR(__xludf.DUMMYFUNCTION("""COMPUTED_VALUE"""),"DL153")</f>
        <v>DL153</v>
      </c>
      <c r="D154" s="2">
        <f>IFERROR(__xludf.DUMMYFUNCTION("""COMPUTED_VALUE"""),45377)</f>
        <v>45377</v>
      </c>
      <c r="E154" s="1" t="str">
        <f>IFERROR(__xludf.DUMMYFUNCTION("""COMPUTED_VALUE"""),"African Technopreneurs")</f>
        <v>African Technopreneurs</v>
      </c>
      <c r="F154" s="1">
        <f>IFERROR(__xludf.DUMMYFUNCTION("""COMPUTED_VALUE"""),157)</f>
        <v>157</v>
      </c>
      <c r="G154" s="1" t="str">
        <f>IFERROR(__xludf.DUMMYFUNCTION("""COMPUTED_VALUE"""),"HTC VIVE FACIAL TRACKER")</f>
        <v>HTC VIVE FACIAL TRACKER</v>
      </c>
      <c r="H154" s="1">
        <f>IFERROR(__xludf.DUMMYFUNCTION("""COMPUTED_VALUE"""),1)</f>
        <v>1</v>
      </c>
      <c r="I154" s="1"/>
      <c r="J154" s="1">
        <f>IFERROR(__xludf.DUMMYFUNCTION("""COMPUTED_VALUE"""),0)</f>
        <v>0</v>
      </c>
      <c r="K154" s="1">
        <f>IFERROR(__xludf.DUMMYFUNCTION("""COMPUTED_VALUE"""),1.5)</f>
        <v>1.5</v>
      </c>
      <c r="L154" s="1" t="str">
        <f>IFERROR(__xludf.DUMMYFUNCTION("""COMPUTED_VALUE"""),"Yes")</f>
        <v>Yes</v>
      </c>
      <c r="M154" s="1" t="str">
        <f>IFERROR(__xludf.DUMMYFUNCTION("""COMPUTED_VALUE"""),"Yes")</f>
        <v>Yes</v>
      </c>
      <c r="N154" s="1" t="str">
        <f>IFERROR(__xludf.DUMMYFUNCTION("""COMPUTED_VALUE"""),"South Africa")</f>
        <v>South Africa</v>
      </c>
      <c r="O154" s="1" t="str">
        <f>IFERROR(__xludf.DUMMYFUNCTION("""COMPUTED_VALUE"""),"Centurion")</f>
        <v>Centurion</v>
      </c>
      <c r="P154" s="1" t="str">
        <f>IFERROR(__xludf.DUMMYFUNCTION("""COMPUTED_VALUE"""),"United Kingdom")</f>
        <v>United Kingdom</v>
      </c>
      <c r="Q154" s="1" t="str">
        <f>IFERROR(__xludf.DUMMYFUNCTION("""COMPUTED_VALUE"""),"Thornby")</f>
        <v>Thornby</v>
      </c>
      <c r="R154" s="1" t="str">
        <f>IFERROR(__xludf.DUMMYFUNCTION("""COMPUTED_VALUE"""),"Air")</f>
        <v>Air</v>
      </c>
      <c r="S154" s="1" t="str">
        <f>IFERROR(__xludf.DUMMYFUNCTION("""COMPUTED_VALUE"""),"EXW")</f>
        <v>EXW</v>
      </c>
      <c r="T154" s="1" t="str">
        <f>IFERROR(__xludf.DUMMYFUNCTION("""COMPUTED_VALUE"""),"Asia Direct")</f>
        <v>Asia Direct</v>
      </c>
      <c r="U154" s="1"/>
      <c r="V154" s="1" t="str">
        <f>IFERROR(__xludf.DUMMYFUNCTION("""COMPUTED_VALUE"""),"support@asiadirect.africa")</f>
        <v>support@asiadirect.africa</v>
      </c>
      <c r="W154" s="1"/>
      <c r="X154" s="1"/>
      <c r="Y154" s="1"/>
    </row>
    <row r="155" customHeight="1" spans="1:25">
      <c r="A155" s="1" t="str">
        <f>IFERROR(__xludf.DUMMYFUNCTION("""COMPUTED_VALUE"""),"voYeySBrvcaLTkx5JXRv4W")</f>
        <v>voYeySBrvcaLTkx5JXRv4W</v>
      </c>
      <c r="B155" s="1">
        <f>IFERROR(__xludf.DUMMYFUNCTION("""COMPUTED_VALUE"""),154)</f>
        <v>154</v>
      </c>
      <c r="C155" s="1" t="str">
        <f>IFERROR(__xludf.DUMMYFUNCTION("""COMPUTED_VALUE"""),"DL154")</f>
        <v>DL154</v>
      </c>
      <c r="D155" s="2">
        <f>IFERROR(__xludf.DUMMYFUNCTION("""COMPUTED_VALUE"""),45399)</f>
        <v>45399</v>
      </c>
      <c r="E155" s="1" t="str">
        <f>IFERROR(__xludf.DUMMYFUNCTION("""COMPUTED_VALUE"""),"VTECTOOLS AND EQUIPMENT")</f>
        <v>VTECTOOLS AND EQUIPMENT</v>
      </c>
      <c r="F155" s="1">
        <f>IFERROR(__xludf.DUMMYFUNCTION("""COMPUTED_VALUE"""),344)</f>
        <v>344</v>
      </c>
      <c r="G155" s="1" t="str">
        <f>IFERROR(__xludf.DUMMYFUNCTION("""COMPUTED_VALUE"""),"Laser Marking Machine")</f>
        <v>Laser Marking Machine</v>
      </c>
      <c r="H155" s="1">
        <f>IFERROR(__xludf.DUMMYFUNCTION("""COMPUTED_VALUE"""),1)</f>
        <v>1</v>
      </c>
      <c r="I155" s="1"/>
      <c r="J155" s="1">
        <f>IFERROR(__xludf.DUMMYFUNCTION("""COMPUTED_VALUE"""),0.3)</f>
        <v>0.3</v>
      </c>
      <c r="K155" s="1">
        <f>IFERROR(__xludf.DUMMYFUNCTION("""COMPUTED_VALUE"""),68)</f>
        <v>68</v>
      </c>
      <c r="L155" s="1"/>
      <c r="M155" s="1"/>
      <c r="N155" s="1"/>
      <c r="O155" s="1"/>
      <c r="P155" s="1"/>
      <c r="Q155" s="1"/>
      <c r="R155" s="1" t="str">
        <f>IFERROR(__xludf.DUMMYFUNCTION("""COMPUTED_VALUE"""),"Sea")</f>
        <v>Sea</v>
      </c>
      <c r="S155" s="1" t="str">
        <f>IFERROR(__xludf.DUMMYFUNCTION("""COMPUTED_VALUE"""),"FCA")</f>
        <v>FCA</v>
      </c>
      <c r="T155" s="1"/>
      <c r="U155" s="1"/>
      <c r="V155" s="1"/>
      <c r="W155" s="1"/>
      <c r="X155" s="1"/>
      <c r="Y155" s="1"/>
    </row>
    <row r="156" customHeight="1" spans="1:25">
      <c r="A156" s="1" t="str">
        <f>IFERROR(__xludf.DUMMYFUNCTION("""COMPUTED_VALUE"""),"feEZ7JQp0Gl5XKct9LBp2v")</f>
        <v>feEZ7JQp0Gl5XKct9LBp2v</v>
      </c>
      <c r="B156" s="1">
        <f>IFERROR(__xludf.DUMMYFUNCTION("""COMPUTED_VALUE"""),155)</f>
        <v>155</v>
      </c>
      <c r="C156" s="1" t="str">
        <f>IFERROR(__xludf.DUMMYFUNCTION("""COMPUTED_VALUE"""),"DL155")</f>
        <v>DL155</v>
      </c>
      <c r="D156" s="2">
        <f>IFERROR(__xludf.DUMMYFUNCTION("""COMPUTED_VALUE"""),45400)</f>
        <v>45400</v>
      </c>
      <c r="E156" s="1" t="str">
        <f>IFERROR(__xludf.DUMMYFUNCTION("""COMPUTED_VALUE"""),"Steven")</f>
        <v>Steven</v>
      </c>
      <c r="F156" s="1">
        <f>IFERROR(__xludf.DUMMYFUNCTION("""COMPUTED_VALUE"""),461)</f>
        <v>461</v>
      </c>
      <c r="G156" s="1" t="str">
        <f>IFERROR(__xludf.DUMMYFUNCTION("""COMPUTED_VALUE"""),"Quartz Stones")</f>
        <v>Quartz Stones</v>
      </c>
      <c r="H156" s="1">
        <f>IFERROR(__xludf.DUMMYFUNCTION("""COMPUTED_VALUE"""),1)</f>
        <v>1</v>
      </c>
      <c r="I156" s="1"/>
      <c r="J156" s="1">
        <f>IFERROR(__xludf.DUMMYFUNCTION("""COMPUTED_VALUE"""),0.7)</f>
        <v>0.7</v>
      </c>
      <c r="K156" s="1">
        <f>IFERROR(__xludf.DUMMYFUNCTION("""COMPUTED_VALUE"""),333)</f>
        <v>333</v>
      </c>
      <c r="L156" s="1" t="str">
        <f>IFERROR(__xludf.DUMMYFUNCTION("""COMPUTED_VALUE"""),"Yes")</f>
        <v>Yes</v>
      </c>
      <c r="M156" s="1" t="str">
        <f>IFERROR(__xludf.DUMMYFUNCTION("""COMPUTED_VALUE"""),"Yes")</f>
        <v>Yes</v>
      </c>
      <c r="N156" s="1" t="str">
        <f>IFERROR(__xludf.DUMMYFUNCTION("""COMPUTED_VALUE"""),"South Africa")</f>
        <v>South Africa</v>
      </c>
      <c r="O156" s="1" t="str">
        <f>IFERROR(__xludf.DUMMYFUNCTION("""COMPUTED_VALUE"""),"Kempton Park, Johannesburg")</f>
        <v>Kempton Park, Johannesburg</v>
      </c>
      <c r="P156" s="1" t="str">
        <f>IFERROR(__xludf.DUMMYFUNCTION("""COMPUTED_VALUE"""),"China")</f>
        <v>China</v>
      </c>
      <c r="Q156" s="1" t="str">
        <f>IFERROR(__xludf.DUMMYFUNCTION("""COMPUTED_VALUE"""),"Guangdong")</f>
        <v>Guangdong</v>
      </c>
      <c r="R156" s="1" t="str">
        <f>IFERROR(__xludf.DUMMYFUNCTION("""COMPUTED_VALUE"""),"Air")</f>
        <v>Air</v>
      </c>
      <c r="S156" s="1" t="str">
        <f>IFERROR(__xludf.DUMMYFUNCTION("""COMPUTED_VALUE"""),"FCA")</f>
        <v>FCA</v>
      </c>
      <c r="T156" s="1" t="str">
        <f>IFERROR(__xludf.DUMMYFUNCTION("""COMPUTED_VALUE"""),"Asia Direct")</f>
        <v>Asia Direct</v>
      </c>
      <c r="U156" s="1" t="str">
        <f>IFERROR(__xludf.DUMMYFUNCTION("""COMPUTED_VALUE"""),"2 Anemoon Rd, Glen marais, Kempton Park, 1619, South Africa")</f>
        <v>2 Anemoon Rd, Glen marais, Kempton Park, 1619, South Africa</v>
      </c>
      <c r="V156" s="1" t="str">
        <f>IFERROR(__xludf.DUMMYFUNCTION("""COMPUTED_VALUE"""),"support@asiadirect.africa")</f>
        <v>support@asiadirect.africa</v>
      </c>
      <c r="W156" s="1">
        <f>IFERROR(__xludf.DUMMYFUNCTION("""COMPUTED_VALUE"""),27104480733)</f>
        <v>27104480733</v>
      </c>
      <c r="X156" s="1"/>
      <c r="Y156" s="1"/>
    </row>
    <row r="157" customHeight="1" spans="1:25">
      <c r="A157" s="1" t="str">
        <f>IFERROR(__xludf.DUMMYFUNCTION("""COMPUTED_VALUE"""),"Lt9zQ3oDN82A0aziUXr904")</f>
        <v>Lt9zQ3oDN82A0aziUXr904</v>
      </c>
      <c r="B157" s="1">
        <f>IFERROR(__xludf.DUMMYFUNCTION("""COMPUTED_VALUE"""),156)</f>
        <v>156</v>
      </c>
      <c r="C157" s="1" t="str">
        <f>IFERROR(__xludf.DUMMYFUNCTION("""COMPUTED_VALUE"""),"DL156")</f>
        <v>DL156</v>
      </c>
      <c r="D157" s="2">
        <f>IFERROR(__xludf.DUMMYFUNCTION("""COMPUTED_VALUE"""),45400)</f>
        <v>45400</v>
      </c>
      <c r="E157" s="1" t="str">
        <f>IFERROR(__xludf.DUMMYFUNCTION("""COMPUTED_VALUE"""),"LUMI")</f>
        <v>LUMI</v>
      </c>
      <c r="F157" s="1">
        <f>IFERROR(__xludf.DUMMYFUNCTION("""COMPUTED_VALUE"""),462)</f>
        <v>462</v>
      </c>
      <c r="G157" s="1" t="str">
        <f>IFERROR(__xludf.DUMMYFUNCTION("""COMPUTED_VALUE"""),"HEELS")</f>
        <v>HEELS</v>
      </c>
      <c r="H157" s="1">
        <f>IFERROR(__xludf.DUMMYFUNCTION("""COMPUTED_VALUE"""),1)</f>
        <v>1</v>
      </c>
      <c r="I157" s="1"/>
      <c r="J157" s="1">
        <f>IFERROR(__xludf.DUMMYFUNCTION("""COMPUTED_VALUE"""),0.17)</f>
        <v>0.17</v>
      </c>
      <c r="K157" s="1">
        <f>IFERROR(__xludf.DUMMYFUNCTION("""COMPUTED_VALUE"""),17)</f>
        <v>17</v>
      </c>
      <c r="L157" s="1" t="str">
        <f>IFERROR(__xludf.DUMMYFUNCTION("""COMPUTED_VALUE"""),"Yes")</f>
        <v>Yes</v>
      </c>
      <c r="M157" s="1" t="str">
        <f>IFERROR(__xludf.DUMMYFUNCTION("""COMPUTED_VALUE"""),"Yes")</f>
        <v>Yes</v>
      </c>
      <c r="N157" s="1" t="str">
        <f>IFERROR(__xludf.DUMMYFUNCTION("""COMPUTED_VALUE"""),"CHINA")</f>
        <v>CHINA</v>
      </c>
      <c r="O157" s="1" t="str">
        <f>IFERROR(__xludf.DUMMYFUNCTION("""COMPUTED_VALUE"""),"HANGZHOU")</f>
        <v>HANGZHOU</v>
      </c>
      <c r="P157" s="1" t="str">
        <f>IFERROR(__xludf.DUMMYFUNCTION("""COMPUTED_VALUE"""),"SOUTH AFRICA")</f>
        <v>SOUTH AFRICA</v>
      </c>
      <c r="Q157" s="1" t="str">
        <f>IFERROR(__xludf.DUMMYFUNCTION("""COMPUTED_VALUE"""),"JOHANNESBURG")</f>
        <v>JOHANNESBURG</v>
      </c>
      <c r="R157" s="1" t="str">
        <f>IFERROR(__xludf.DUMMYFUNCTION("""COMPUTED_VALUE"""),"Sea")</f>
        <v>Sea</v>
      </c>
      <c r="S157" s="1" t="str">
        <f>IFERROR(__xludf.DUMMYFUNCTION("""COMPUTED_VALUE"""),"FCA")</f>
        <v>FCA</v>
      </c>
      <c r="T157" s="1"/>
      <c r="U157" s="1"/>
      <c r="V157" s="1"/>
      <c r="W157" s="1"/>
      <c r="X157" s="1"/>
      <c r="Y157" s="1"/>
    </row>
    <row r="158" customHeight="1" spans="1:25">
      <c r="A158" s="1" t="str">
        <f>IFERROR(__xludf.DUMMYFUNCTION("""COMPUTED_VALUE"""),"LDOjVnhNjtFDBm6wT10F0j")</f>
        <v>LDOjVnhNjtFDBm6wT10F0j</v>
      </c>
      <c r="B158" s="1">
        <f>IFERROR(__xludf.DUMMYFUNCTION("""COMPUTED_VALUE"""),157)</f>
        <v>157</v>
      </c>
      <c r="C158" s="1" t="str">
        <f>IFERROR(__xludf.DUMMYFUNCTION("""COMPUTED_VALUE"""),"DL157")</f>
        <v>DL157</v>
      </c>
      <c r="D158" s="2">
        <f>IFERROR(__xludf.DUMMYFUNCTION("""COMPUTED_VALUE"""),45404)</f>
        <v>45404</v>
      </c>
      <c r="E158" s="1" t="str">
        <f>IFERROR(__xludf.DUMMYFUNCTION("""COMPUTED_VALUE"""),"Mpumatech Stainless Tube (Pty) Ltd")</f>
        <v>Mpumatech Stainless Tube (Pty) Ltd</v>
      </c>
      <c r="F158" s="1">
        <f>IFERROR(__xludf.DUMMYFUNCTION("""COMPUTED_VALUE"""),414)</f>
        <v>414</v>
      </c>
      <c r="G158" s="1" t="str">
        <f>IFERROR(__xludf.DUMMYFUNCTION("""COMPUTED_VALUE"""),"Padlocks")</f>
        <v>Padlocks</v>
      </c>
      <c r="H158" s="1">
        <f>IFERROR(__xludf.DUMMYFUNCTION("""COMPUTED_VALUE"""),1)</f>
        <v>1</v>
      </c>
      <c r="I158" s="1"/>
      <c r="J158" s="1">
        <f>IFERROR(__xludf.DUMMYFUNCTION("""COMPUTED_VALUE"""),0.01)</f>
        <v>0.01</v>
      </c>
      <c r="K158" s="1">
        <f>IFERROR(__xludf.DUMMYFUNCTION("""COMPUTED_VALUE"""),5)</f>
        <v>5</v>
      </c>
      <c r="L158" s="1" t="str">
        <f>IFERROR(__xludf.DUMMYFUNCTION("""COMPUTED_VALUE"""),"Yes")</f>
        <v>Yes</v>
      </c>
      <c r="M158" s="1" t="str">
        <f>IFERROR(__xludf.DUMMYFUNCTION("""COMPUTED_VALUE"""),"Yes")</f>
        <v>Yes</v>
      </c>
      <c r="N158" s="1" t="str">
        <f>IFERROR(__xludf.DUMMYFUNCTION("""COMPUTED_VALUE"""),"South Africa")</f>
        <v>South Africa</v>
      </c>
      <c r="O158" s="1" t="str">
        <f>IFERROR(__xludf.DUMMYFUNCTION("""COMPUTED_VALUE"""),"Sandton")</f>
        <v>Sandton</v>
      </c>
      <c r="P158" s="1" t="str">
        <f>IFERROR(__xludf.DUMMYFUNCTION("""COMPUTED_VALUE"""),"Mali")</f>
        <v>Mali</v>
      </c>
      <c r="Q158" s="1" t="str">
        <f>IFERROR(__xludf.DUMMYFUNCTION("""COMPUTED_VALUE"""),"Bamako")</f>
        <v>Bamako</v>
      </c>
      <c r="R158" s="1" t="str">
        <f>IFERROR(__xludf.DUMMYFUNCTION("""COMPUTED_VALUE"""),"Air")</f>
        <v>Air</v>
      </c>
      <c r="S158" s="1" t="str">
        <f>IFERROR(__xludf.DUMMYFUNCTION("""COMPUTED_VALUE"""),"EXW")</f>
        <v>EXW</v>
      </c>
      <c r="T158" s="1" t="str">
        <f>IFERROR(__xludf.DUMMYFUNCTION("""COMPUTED_VALUE"""),"Asia Direct")</f>
        <v>Asia Direct</v>
      </c>
      <c r="U158" s="1" t="str">
        <f>IFERROR(__xludf.DUMMYFUNCTION("""COMPUTED_VALUE"""),"2 Anemoon Rd, Glen marais, Kempton Park, 1619, South Africa")</f>
        <v>2 Anemoon Rd, Glen marais, Kempton Park, 1619, South Africa</v>
      </c>
      <c r="V158" s="1" t="str">
        <f>IFERROR(__xludf.DUMMYFUNCTION("""COMPUTED_VALUE"""),"support@asiadirect.africa")</f>
        <v>support@asiadirect.africa</v>
      </c>
      <c r="W158" s="1" t="str">
        <f>IFERROR(__xludf.DUMMYFUNCTION("""COMPUTED_VALUE"""),"+27 10 448 0733")</f>
        <v>+27 10 448 0733</v>
      </c>
      <c r="X158" s="1"/>
      <c r="Y158" s="1"/>
    </row>
    <row r="159" customHeight="1" spans="1:25">
      <c r="A159" s="1" t="str">
        <f>IFERROR(__xludf.DUMMYFUNCTION("""COMPUTED_VALUE"""),"49qJfyDj5Qr18hlzJjIn0y")</f>
        <v>49qJfyDj5Qr18hlzJjIn0y</v>
      </c>
      <c r="B159" s="1">
        <f>IFERROR(__xludf.DUMMYFUNCTION("""COMPUTED_VALUE"""),158)</f>
        <v>158</v>
      </c>
      <c r="C159" s="1" t="str">
        <f>IFERROR(__xludf.DUMMYFUNCTION("""COMPUTED_VALUE"""),"DL158")</f>
        <v>DL158</v>
      </c>
      <c r="D159" s="2">
        <f>IFERROR(__xludf.DUMMYFUNCTION("""COMPUTED_VALUE"""),45404)</f>
        <v>45404</v>
      </c>
      <c r="E159" s="1" t="str">
        <f>IFERROR(__xludf.DUMMYFUNCTION("""COMPUTED_VALUE"""),"African Technopreneurs")</f>
        <v>African Technopreneurs</v>
      </c>
      <c r="F159" s="1">
        <f>IFERROR(__xludf.DUMMYFUNCTION("""COMPUTED_VALUE"""),157)</f>
        <v>157</v>
      </c>
      <c r="G159" s="1" t="str">
        <f>IFERROR(__xludf.DUMMYFUNCTION("""COMPUTED_VALUE"""),"1x Google Pixel 5 Case - Basically Black")</f>
        <v>1x Google Pixel 5 Case - Basically Black</v>
      </c>
      <c r="H159" s="1">
        <f>IFERROR(__xludf.DUMMYFUNCTION("""COMPUTED_VALUE"""),1)</f>
        <v>1</v>
      </c>
      <c r="I159" s="1"/>
      <c r="J159" s="1">
        <f>IFERROR(__xludf.DUMMYFUNCTION("""COMPUTED_VALUE"""),0.01)</f>
        <v>0.01</v>
      </c>
      <c r="K159" s="1">
        <f>IFERROR(__xludf.DUMMYFUNCTION("""COMPUTED_VALUE"""),1)</f>
        <v>1</v>
      </c>
      <c r="L159" s="1" t="str">
        <f>IFERROR(__xludf.DUMMYFUNCTION("""COMPUTED_VALUE"""),"Yes")</f>
        <v>Yes</v>
      </c>
      <c r="M159" s="1" t="str">
        <f>IFERROR(__xludf.DUMMYFUNCTION("""COMPUTED_VALUE"""),"Yes")</f>
        <v>Yes</v>
      </c>
      <c r="N159" s="1" t="str">
        <f>IFERROR(__xludf.DUMMYFUNCTION("""COMPUTED_VALUE"""),"South Africa")</f>
        <v>South Africa</v>
      </c>
      <c r="O159" s="1" t="str">
        <f>IFERROR(__xludf.DUMMYFUNCTION("""COMPUTED_VALUE"""),"Centurion")</f>
        <v>Centurion</v>
      </c>
      <c r="P159" s="1" t="str">
        <f>IFERROR(__xludf.DUMMYFUNCTION("""COMPUTED_VALUE"""),"United States of America")</f>
        <v>United States of America</v>
      </c>
      <c r="Q159" s="1" t="str">
        <f>IFERROR(__xludf.DUMMYFUNCTION("""COMPUTED_VALUE"""),"Henrico")</f>
        <v>Henrico</v>
      </c>
      <c r="R159" s="1" t="str">
        <f>IFERROR(__xludf.DUMMYFUNCTION("""COMPUTED_VALUE"""),"Air")</f>
        <v>Air</v>
      </c>
      <c r="S159" s="1" t="str">
        <f>IFERROR(__xludf.DUMMYFUNCTION("""COMPUTED_VALUE"""),"EXW")</f>
        <v>EXW</v>
      </c>
      <c r="T159" s="1" t="str">
        <f>IFERROR(__xludf.DUMMYFUNCTION("""COMPUTED_VALUE"""),"Asia Direct")</f>
        <v>Asia Direct</v>
      </c>
      <c r="U159" s="1"/>
      <c r="V159" s="1" t="str">
        <f>IFERROR(__xludf.DUMMYFUNCTION("""COMPUTED_VALUE"""),"support@asiadirect.africa")</f>
        <v>support@asiadirect.africa</v>
      </c>
      <c r="W159" s="1"/>
      <c r="X159" s="1"/>
      <c r="Y159" s="1"/>
    </row>
    <row r="160" customHeight="1" spans="1:25">
      <c r="A160" s="1" t="str">
        <f>IFERROR(__xludf.DUMMYFUNCTION("""COMPUTED_VALUE"""),"AgY7Oga98UgtacQVDQVUOI")</f>
        <v>AgY7Oga98UgtacQVDQVUOI</v>
      </c>
      <c r="B160" s="1">
        <f>IFERROR(__xludf.DUMMYFUNCTION("""COMPUTED_VALUE"""),159)</f>
        <v>159</v>
      </c>
      <c r="C160" s="1" t="str">
        <f>IFERROR(__xludf.DUMMYFUNCTION("""COMPUTED_VALUE"""),"DL159")</f>
        <v>DL159</v>
      </c>
      <c r="D160" s="2">
        <f>IFERROR(__xludf.DUMMYFUNCTION("""COMPUTED_VALUE"""),45407)</f>
        <v>45407</v>
      </c>
      <c r="E160" s="1" t="str">
        <f>IFERROR(__xludf.DUMMYFUNCTION("""COMPUTED_VALUE"""),"Mpumatech Stainless Tube (Pty) Ltd")</f>
        <v>Mpumatech Stainless Tube (Pty) Ltd</v>
      </c>
      <c r="F160" s="1">
        <f>IFERROR(__xludf.DUMMYFUNCTION("""COMPUTED_VALUE"""),414)</f>
        <v>414</v>
      </c>
      <c r="G160" s="1" t="str">
        <f>IFERROR(__xludf.DUMMYFUNCTION("""COMPUTED_VALUE"""),"V. Belts")</f>
        <v>V. Belts</v>
      </c>
      <c r="H160" s="1">
        <f>IFERROR(__xludf.DUMMYFUNCTION("""COMPUTED_VALUE"""),2)</f>
        <v>2</v>
      </c>
      <c r="I160" s="1"/>
      <c r="J160" s="1">
        <f>IFERROR(__xludf.DUMMYFUNCTION("""COMPUTED_VALUE"""),0.17)</f>
        <v>0.17</v>
      </c>
      <c r="K160" s="1">
        <f>IFERROR(__xludf.DUMMYFUNCTION("""COMPUTED_VALUE"""),40)</f>
        <v>40</v>
      </c>
      <c r="L160" s="1" t="str">
        <f>IFERROR(__xludf.DUMMYFUNCTION("""COMPUTED_VALUE"""),"Yes")</f>
        <v>Yes</v>
      </c>
      <c r="M160" s="1" t="str">
        <f>IFERROR(__xludf.DUMMYFUNCTION("""COMPUTED_VALUE"""),"Yes")</f>
        <v>Yes</v>
      </c>
      <c r="N160" s="1" t="str">
        <f>IFERROR(__xludf.DUMMYFUNCTION("""COMPUTED_VALUE"""),"South Africa")</f>
        <v>South Africa</v>
      </c>
      <c r="O160" s="1" t="str">
        <f>IFERROR(__xludf.DUMMYFUNCTION("""COMPUTED_VALUE"""),"Johannesburg")</f>
        <v>Johannesburg</v>
      </c>
      <c r="P160" s="1" t="str">
        <f>IFERROR(__xludf.DUMMYFUNCTION("""COMPUTED_VALUE"""),"Mali")</f>
        <v>Mali</v>
      </c>
      <c r="Q160" s="1" t="str">
        <f>IFERROR(__xludf.DUMMYFUNCTION("""COMPUTED_VALUE"""),"Bamako")</f>
        <v>Bamako</v>
      </c>
      <c r="R160" s="1" t="str">
        <f>IFERROR(__xludf.DUMMYFUNCTION("""COMPUTED_VALUE"""),"Air")</f>
        <v>Air</v>
      </c>
      <c r="S160" s="1" t="str">
        <f>IFERROR(__xludf.DUMMYFUNCTION("""COMPUTED_VALUE"""),"EXW")</f>
        <v>EXW</v>
      </c>
      <c r="T160" s="1" t="str">
        <f>IFERROR(__xludf.DUMMYFUNCTION("""COMPUTED_VALUE"""),"Asia Direct")</f>
        <v>Asia Direct</v>
      </c>
      <c r="U160" s="1" t="str">
        <f>IFERROR(__xludf.DUMMYFUNCTION("""COMPUTED_VALUE"""),"2 Anemoon Rd, Glen marais, Kempton Park, 1619, South Africa")</f>
        <v>2 Anemoon Rd, Glen marais, Kempton Park, 1619, South Africa</v>
      </c>
      <c r="V160" s="1"/>
      <c r="W160" s="1"/>
      <c r="X160" s="1"/>
      <c r="Y160" s="1"/>
    </row>
    <row r="161" customHeight="1" spans="1:25">
      <c r="A161" s="1" t="str">
        <f>IFERROR(__xludf.DUMMYFUNCTION("""COMPUTED_VALUE"""),"FFPKZNEgQllugoL7yqM90E")</f>
        <v>FFPKZNEgQllugoL7yqM90E</v>
      </c>
      <c r="B161" s="1">
        <f>IFERROR(__xludf.DUMMYFUNCTION("""COMPUTED_VALUE"""),160)</f>
        <v>160</v>
      </c>
      <c r="C161" s="1" t="str">
        <f>IFERROR(__xludf.DUMMYFUNCTION("""COMPUTED_VALUE"""),"DL160")</f>
        <v>DL160</v>
      </c>
      <c r="D161" s="2">
        <f>IFERROR(__xludf.DUMMYFUNCTION("""COMPUTED_VALUE"""),45372)</f>
        <v>45372</v>
      </c>
      <c r="E161" s="1" t="str">
        <f>IFERROR(__xludf.DUMMYFUNCTION("""COMPUTED_VALUE"""),"Jimmy Zinhumwe")</f>
        <v>Jimmy Zinhumwe</v>
      </c>
      <c r="F161" s="1">
        <f>IFERROR(__xludf.DUMMYFUNCTION("""COMPUTED_VALUE"""),376)</f>
        <v>376</v>
      </c>
      <c r="G161" s="1" t="str">
        <f>IFERROR(__xludf.DUMMYFUNCTION("""COMPUTED_VALUE"""),"security locks")</f>
        <v>security locks</v>
      </c>
      <c r="H161" s="1">
        <f>IFERROR(__xludf.DUMMYFUNCTION("""COMPUTED_VALUE"""),3)</f>
        <v>3</v>
      </c>
      <c r="I161" s="1"/>
      <c r="J161" s="1">
        <f>IFERROR(__xludf.DUMMYFUNCTION("""COMPUTED_VALUE"""),0.12)</f>
        <v>0.12</v>
      </c>
      <c r="K161" s="1">
        <f>IFERROR(__xludf.DUMMYFUNCTION("""COMPUTED_VALUE"""),28)</f>
        <v>28</v>
      </c>
      <c r="L161" s="1" t="str">
        <f>IFERROR(__xludf.DUMMYFUNCTION("""COMPUTED_VALUE"""),"Yes")</f>
        <v>Yes</v>
      </c>
      <c r="M161" s="1" t="str">
        <f>IFERROR(__xludf.DUMMYFUNCTION("""COMPUTED_VALUE"""),"Yes")</f>
        <v>Yes</v>
      </c>
      <c r="N161" s="1" t="str">
        <f>IFERROR(__xludf.DUMMYFUNCTION("""COMPUTED_VALUE"""),"China")</f>
        <v>China</v>
      </c>
      <c r="O161" s="1" t="str">
        <f>IFERROR(__xludf.DUMMYFUNCTION("""COMPUTED_VALUE"""),"Guangzhou")</f>
        <v>Guangzhou</v>
      </c>
      <c r="P161" s="1" t="str">
        <f>IFERROR(__xludf.DUMMYFUNCTION("""COMPUTED_VALUE"""),"South Africa")</f>
        <v>South Africa</v>
      </c>
      <c r="Q161" s="1" t="str">
        <f>IFERROR(__xludf.DUMMYFUNCTION("""COMPUTED_VALUE"""),"Kempton Park")</f>
        <v>Kempton Park</v>
      </c>
      <c r="R161" s="1" t="str">
        <f>IFERROR(__xludf.DUMMYFUNCTION("""COMPUTED_VALUE"""),"Sea")</f>
        <v>Sea</v>
      </c>
      <c r="S161" s="1" t="str">
        <f>IFERROR(__xludf.DUMMYFUNCTION("""COMPUTED_VALUE"""),"EXW")</f>
        <v>EXW</v>
      </c>
      <c r="T161" s="1" t="str">
        <f>IFERROR(__xludf.DUMMYFUNCTION("""COMPUTED_VALUE"""),"OBD LOGISTICS CO LTD")</f>
        <v>OBD LOGISTICS CO LTD</v>
      </c>
      <c r="U161" s="1" t="str">
        <f>IFERROR(__xludf.DUMMYFUNCTION("""COMPUTED_VALUE"""),"Baisha, Dongguan, Guangdong Province, China, 523900")</f>
        <v>Baisha, Dongguan, Guangdong Province, China, 523900</v>
      </c>
      <c r="V161" s="1"/>
      <c r="W161" s="1"/>
      <c r="X161" s="1"/>
      <c r="Y161" s="1"/>
    </row>
    <row r="162" customHeight="1" spans="1:25">
      <c r="A162" s="1" t="str">
        <f>IFERROR(__xludf.DUMMYFUNCTION("""COMPUTED_VALUE"""),"kI3CI1PsWYNNuzMuMcNyNw")</f>
        <v>kI3CI1PsWYNNuzMuMcNyNw</v>
      </c>
      <c r="B162" s="1">
        <f>IFERROR(__xludf.DUMMYFUNCTION("""COMPUTED_VALUE"""),647)</f>
        <v>647</v>
      </c>
      <c r="C162" s="1" t="str">
        <f>IFERROR(__xludf.DUMMYFUNCTION("""COMPUTED_VALUE"""),"DL161")</f>
        <v>DL161</v>
      </c>
      <c r="D162" s="2">
        <f>IFERROR(__xludf.DUMMYFUNCTION("""COMPUTED_VALUE"""),45437)</f>
        <v>45437</v>
      </c>
      <c r="E162" s="1" t="str">
        <f>IFERROR(__xludf.DUMMYFUNCTION("""COMPUTED_VALUE"""),"Yonda")</f>
        <v>Yonda</v>
      </c>
      <c r="F162" s="1">
        <f>IFERROR(__xludf.DUMMYFUNCTION("""COMPUTED_VALUE"""),473)</f>
        <v>473</v>
      </c>
      <c r="G162" s="1" t="str">
        <f>IFERROR(__xludf.DUMMYFUNCTION("""COMPUTED_VALUE"""),"Stainless Steel 304 Welded round pipe and Fireplace glass")</f>
        <v>Stainless Steel 304 Welded round pipe and Fireplace glass</v>
      </c>
      <c r="H162" s="1">
        <f>IFERROR(__xludf.DUMMYFUNCTION("""COMPUTED_VALUE"""),1)</f>
        <v>1</v>
      </c>
      <c r="I162" s="1"/>
      <c r="J162" s="1">
        <f>IFERROR(__xludf.DUMMYFUNCTION("""COMPUTED_VALUE"""),0.35)</f>
        <v>0.35</v>
      </c>
      <c r="K162" s="1">
        <f>IFERROR(__xludf.DUMMYFUNCTION("""COMPUTED_VALUE"""),69)</f>
        <v>69</v>
      </c>
      <c r="L162" s="1" t="str">
        <f>IFERROR(__xludf.DUMMYFUNCTION("""COMPUTED_VALUE"""),"Yes")</f>
        <v>Yes</v>
      </c>
      <c r="M162" s="1" t="str">
        <f>IFERROR(__xludf.DUMMYFUNCTION("""COMPUTED_VALUE"""),"Yes")</f>
        <v>Yes</v>
      </c>
      <c r="N162" s="1" t="str">
        <f>IFERROR(__xludf.DUMMYFUNCTION("""COMPUTED_VALUE"""),"China")</f>
        <v>China</v>
      </c>
      <c r="O162" s="1" t="str">
        <f>IFERROR(__xludf.DUMMYFUNCTION("""COMPUTED_VALUE"""),"Shenzhen")</f>
        <v>Shenzhen</v>
      </c>
      <c r="P162" s="1" t="str">
        <f>IFERROR(__xludf.DUMMYFUNCTION("""COMPUTED_VALUE"""),"South Africa")</f>
        <v>South Africa</v>
      </c>
      <c r="Q162" s="1" t="str">
        <f>IFERROR(__xludf.DUMMYFUNCTION("""COMPUTED_VALUE"""),"Johannesburg")</f>
        <v>Johannesburg</v>
      </c>
      <c r="R162" s="1" t="str">
        <f>IFERROR(__xludf.DUMMYFUNCTION("""COMPUTED_VALUE"""),"Sea")</f>
        <v>Sea</v>
      </c>
      <c r="S162" s="1" t="str">
        <f>IFERROR(__xludf.DUMMYFUNCTION("""COMPUTED_VALUE"""),"FCA")</f>
        <v>FCA</v>
      </c>
      <c r="T162" s="1" t="str">
        <f>IFERROR(__xludf.DUMMYFUNCTION("""COMPUTED_VALUE"""),"Shenzhen Nimbus Shipping Co Ltd")</f>
        <v>Shenzhen Nimbus Shipping Co Ltd</v>
      </c>
      <c r="U162" s="1" t="str">
        <f>IFERROR(__xludf.DUMMYFUNCTION("""COMPUTED_VALUE"""),"Guangdong province Shenzhen Pinghu sinotrans warehouse")</f>
        <v>Guangdong province Shenzhen Pinghu sinotrans warehouse</v>
      </c>
      <c r="V162" s="1"/>
      <c r="W162" s="1"/>
      <c r="X162" s="1"/>
      <c r="Y162" s="1"/>
    </row>
    <row r="163" customHeight="1" spans="1:25">
      <c r="A163" s="1" t="str">
        <f>IFERROR(__xludf.DUMMYFUNCTION("""COMPUTED_VALUE"""),"PEXEfANJiZmzf1pIjNoC9L")</f>
        <v>PEXEfANJiZmzf1pIjNoC9L</v>
      </c>
      <c r="B163" s="1">
        <f>IFERROR(__xludf.DUMMYFUNCTION("""COMPUTED_VALUE"""),621)</f>
        <v>621</v>
      </c>
      <c r="C163" s="1" t="str">
        <f>IFERROR(__xludf.DUMMYFUNCTION("""COMPUTED_VALUE"""),"DL162")</f>
        <v>DL162</v>
      </c>
      <c r="D163" s="2">
        <f>IFERROR(__xludf.DUMMYFUNCTION("""COMPUTED_VALUE"""),45407)</f>
        <v>45407</v>
      </c>
      <c r="E163" s="1" t="str">
        <f>IFERROR(__xludf.DUMMYFUNCTION("""COMPUTED_VALUE"""),"Schalk")</f>
        <v>Schalk</v>
      </c>
      <c r="F163" s="1">
        <f>IFERROR(__xludf.DUMMYFUNCTION("""COMPUTED_VALUE"""),460)</f>
        <v>460</v>
      </c>
      <c r="G163" s="1" t="str">
        <f>IFERROR(__xludf.DUMMYFUNCTION("""COMPUTED_VALUE"""),"Coffee Electronics pulper peeling machine")</f>
        <v>Coffee Electronics pulper peeling machine</v>
      </c>
      <c r="H163" s="1">
        <f>IFERROR(__xludf.DUMMYFUNCTION("""COMPUTED_VALUE"""),1)</f>
        <v>1</v>
      </c>
      <c r="I163" s="1"/>
      <c r="J163" s="1">
        <f>IFERROR(__xludf.DUMMYFUNCTION("""COMPUTED_VALUE"""),0.07)</f>
        <v>0.07</v>
      </c>
      <c r="K163" s="1">
        <f>IFERROR(__xludf.DUMMYFUNCTION("""COMPUTED_VALUE"""),27.45)</f>
        <v>27.45</v>
      </c>
      <c r="L163" s="1" t="str">
        <f>IFERROR(__xludf.DUMMYFUNCTION("""COMPUTED_VALUE"""),"Yes")</f>
        <v>Yes</v>
      </c>
      <c r="M163" s="1" t="str">
        <f>IFERROR(__xludf.DUMMYFUNCTION("""COMPUTED_VALUE"""),"Yes")</f>
        <v>Yes</v>
      </c>
      <c r="N163" s="1" t="str">
        <f>IFERROR(__xludf.DUMMYFUNCTION("""COMPUTED_VALUE"""),"China")</f>
        <v>China</v>
      </c>
      <c r="O163" s="1" t="str">
        <f>IFERROR(__xludf.DUMMYFUNCTION("""COMPUTED_VALUE"""),"Shenzhen")</f>
        <v>Shenzhen</v>
      </c>
      <c r="P163" s="1" t="str">
        <f>IFERROR(__xludf.DUMMYFUNCTION("""COMPUTED_VALUE"""),"South Africa")</f>
        <v>South Africa</v>
      </c>
      <c r="Q163" s="1" t="str">
        <f>IFERROR(__xludf.DUMMYFUNCTION("""COMPUTED_VALUE"""),"Durban")</f>
        <v>Durban</v>
      </c>
      <c r="R163" s="1" t="str">
        <f>IFERROR(__xludf.DUMMYFUNCTION("""COMPUTED_VALUE"""),"Air")</f>
        <v>Air</v>
      </c>
      <c r="S163" s="1" t="str">
        <f>IFERROR(__xludf.DUMMYFUNCTION("""COMPUTED_VALUE"""),"FCA")</f>
        <v>FCA</v>
      </c>
      <c r="T163" s="1" t="str">
        <f>IFERROR(__xludf.DUMMYFUNCTION("""COMPUTED_VALUE"""),"Shenzhen Nimbus Shipping Co Ltd")</f>
        <v>Shenzhen Nimbus Shipping Co Ltd</v>
      </c>
      <c r="U163" s="1" t="str">
        <f>IFERROR(__xludf.DUMMYFUNCTION("""COMPUTED_VALUE"""),"Yong Xiang Lu, Long Gang Qu, Shen Zhen Shi, Guang Dong Sheng, China")</f>
        <v>Yong Xiang Lu, Long Gang Qu, Shen Zhen Shi, Guang Dong Sheng, China</v>
      </c>
      <c r="V163" s="1"/>
      <c r="W163" s="1" t="str">
        <f>IFERROR(__xludf.DUMMYFUNCTION("""COMPUTED_VALUE"""),"008675589699684")</f>
        <v>008675589699684</v>
      </c>
      <c r="X163" s="1"/>
      <c r="Y163" s="1"/>
    </row>
    <row r="164" customHeight="1" spans="1:25">
      <c r="A164" s="1" t="str">
        <f>IFERROR(__xludf.DUMMYFUNCTION("""COMPUTED_VALUE"""),"45FlCToiPSJVQjUbWUCV7t")</f>
        <v>45FlCToiPSJVQjUbWUCV7t</v>
      </c>
      <c r="B164" s="1">
        <f>IFERROR(__xludf.DUMMYFUNCTION("""COMPUTED_VALUE"""),163)</f>
        <v>163</v>
      </c>
      <c r="C164" s="1" t="str">
        <f>IFERROR(__xludf.DUMMYFUNCTION("""COMPUTED_VALUE"""),"DL163")</f>
        <v>DL163</v>
      </c>
      <c r="D164" s="2">
        <f>IFERROR(__xludf.DUMMYFUNCTION("""COMPUTED_VALUE"""),45420)</f>
        <v>45420</v>
      </c>
      <c r="E164" s="1" t="str">
        <f>IFERROR(__xludf.DUMMYFUNCTION("""COMPUTED_VALUE"""),"African Technopreneurs")</f>
        <v>African Technopreneurs</v>
      </c>
      <c r="F164" s="1">
        <f>IFERROR(__xludf.DUMMYFUNCTION("""COMPUTED_VALUE"""),157)</f>
        <v>157</v>
      </c>
      <c r="G164" s="1" t="str">
        <f>IFERROR(__xludf.DUMMYFUNCTION("""COMPUTED_VALUE"""),"Amazon Returns")</f>
        <v>Amazon Returns</v>
      </c>
      <c r="H164" s="1">
        <f>IFERROR(__xludf.DUMMYFUNCTION("""COMPUTED_VALUE"""),5)</f>
        <v>5</v>
      </c>
      <c r="I164" s="1"/>
      <c r="J164" s="1">
        <f>IFERROR(__xludf.DUMMYFUNCTION("""COMPUTED_VALUE"""),0.2)</f>
        <v>0.2</v>
      </c>
      <c r="K164" s="1">
        <f>IFERROR(__xludf.DUMMYFUNCTION("""COMPUTED_VALUE"""),40.5)</f>
        <v>40.5</v>
      </c>
      <c r="L164" s="1" t="str">
        <f>IFERROR(__xludf.DUMMYFUNCTION("""COMPUTED_VALUE"""),"Yes")</f>
        <v>Yes</v>
      </c>
      <c r="M164" s="1" t="str">
        <f>IFERROR(__xludf.DUMMYFUNCTION("""COMPUTED_VALUE"""),"Yes")</f>
        <v>Yes</v>
      </c>
      <c r="N164" s="1" t="str">
        <f>IFERROR(__xludf.DUMMYFUNCTION("""COMPUTED_VALUE"""),"South Africa")</f>
        <v>South Africa</v>
      </c>
      <c r="O164" s="1" t="str">
        <f>IFERROR(__xludf.DUMMYFUNCTION("""COMPUTED_VALUE"""),"Kempton Park")</f>
        <v>Kempton Park</v>
      </c>
      <c r="P164" s="1" t="str">
        <f>IFERROR(__xludf.DUMMYFUNCTION("""COMPUTED_VALUE"""),"United of America")</f>
        <v>United of America</v>
      </c>
      <c r="Q164" s="1" t="str">
        <f>IFERROR(__xludf.DUMMYFUNCTION("""COMPUTED_VALUE"""),"Vegas")</f>
        <v>Vegas</v>
      </c>
      <c r="R164" s="1" t="str">
        <f>IFERROR(__xludf.DUMMYFUNCTION("""COMPUTED_VALUE"""),"Air")</f>
        <v>Air</v>
      </c>
      <c r="S164" s="1" t="str">
        <f>IFERROR(__xludf.DUMMYFUNCTION("""COMPUTED_VALUE"""),"EXW")</f>
        <v>EXW</v>
      </c>
      <c r="T164" s="1" t="str">
        <f>IFERROR(__xludf.DUMMYFUNCTION("""COMPUTED_VALUE"""),"Asia Direct")</f>
        <v>Asia Direct</v>
      </c>
      <c r="U164" s="1" t="str">
        <f>IFERROR(__xludf.DUMMYFUNCTION("""COMPUTED_VALUE"""),"2 Anemoon Rd, Glen marais, Kempton Park, 1619, South Africa")</f>
        <v>2 Anemoon Rd, Glen marais, Kempton Park, 1619, South Africa</v>
      </c>
      <c r="V164" s="1"/>
      <c r="W164" s="1"/>
      <c r="X164" s="1"/>
      <c r="Y164" s="1"/>
    </row>
    <row r="165" customHeight="1" spans="1:25">
      <c r="A165" s="1" t="str">
        <f>IFERROR(__xludf.DUMMYFUNCTION("""COMPUTED_VALUE"""),"n0qspHyGjhOm1CDuNXqJo3")</f>
        <v>n0qspHyGjhOm1CDuNXqJo3</v>
      </c>
      <c r="B165" s="1">
        <f>IFERROR(__xludf.DUMMYFUNCTION("""COMPUTED_VALUE"""),164)</f>
        <v>164</v>
      </c>
      <c r="C165" s="1" t="str">
        <f>IFERROR(__xludf.DUMMYFUNCTION("""COMPUTED_VALUE"""),"DL164")</f>
        <v>DL164</v>
      </c>
      <c r="D165" s="2">
        <f>IFERROR(__xludf.DUMMYFUNCTION("""COMPUTED_VALUE"""),45421)</f>
        <v>45421</v>
      </c>
      <c r="E165" s="1" t="str">
        <f>IFERROR(__xludf.DUMMYFUNCTION("""COMPUTED_VALUE"""),"Mpho Ngobene")</f>
        <v>Mpho Ngobene</v>
      </c>
      <c r="F165" s="1">
        <f>IFERROR(__xludf.DUMMYFUNCTION("""COMPUTED_VALUE"""),226)</f>
        <v>226</v>
      </c>
      <c r="G165" s="1" t="str">
        <f>IFERROR(__xludf.DUMMYFUNCTION("""COMPUTED_VALUE"""),"Clothes")</f>
        <v>Clothes</v>
      </c>
      <c r="H165" s="1"/>
      <c r="I165" s="1"/>
      <c r="J165" s="1">
        <f>IFERROR(__xludf.DUMMYFUNCTION("""COMPUTED_VALUE"""),1.8)</f>
        <v>1.8</v>
      </c>
      <c r="K165" s="1">
        <f>IFERROR(__xludf.DUMMYFUNCTION("""COMPUTED_VALUE"""),310)</f>
        <v>310</v>
      </c>
      <c r="L165" s="1"/>
      <c r="M165" s="1"/>
      <c r="N165" s="1"/>
      <c r="O165" s="1"/>
      <c r="P165" s="1"/>
      <c r="Q165" s="1"/>
      <c r="R165" s="1" t="str">
        <f>IFERROR(__xludf.DUMMYFUNCTION("""COMPUTED_VALUE"""),"Sea")</f>
        <v>Sea</v>
      </c>
      <c r="S165" s="1" t="str">
        <f>IFERROR(__xludf.DUMMYFUNCTION("""COMPUTED_VALUE"""),"FCA")</f>
        <v>FCA</v>
      </c>
      <c r="T165" s="1"/>
      <c r="U165" s="1"/>
      <c r="V165" s="1"/>
      <c r="W165" s="1"/>
      <c r="X165" s="1"/>
      <c r="Y165" s="1"/>
    </row>
    <row r="166" customHeight="1" spans="1:25">
      <c r="A166" s="1" t="str">
        <f>IFERROR(__xludf.DUMMYFUNCTION("""COMPUTED_VALUE"""),"821w8YTA7lCBEHKZ4Sm8Eo")</f>
        <v>821w8YTA7lCBEHKZ4Sm8Eo</v>
      </c>
      <c r="B166" s="1">
        <f>IFERROR(__xludf.DUMMYFUNCTION("""COMPUTED_VALUE"""),165)</f>
        <v>165</v>
      </c>
      <c r="C166" s="1" t="str">
        <f>IFERROR(__xludf.DUMMYFUNCTION("""COMPUTED_VALUE"""),"DL165")</f>
        <v>DL165</v>
      </c>
      <c r="D166" s="2">
        <f>IFERROR(__xludf.DUMMYFUNCTION("""COMPUTED_VALUE"""),45410)</f>
        <v>45410</v>
      </c>
      <c r="E166" s="1" t="str">
        <f>IFERROR(__xludf.DUMMYFUNCTION("""COMPUTED_VALUE"""),"Sithembe Procuments")</f>
        <v>Sithembe Procuments</v>
      </c>
      <c r="F166" s="1">
        <f>IFERROR(__xludf.DUMMYFUNCTION("""COMPUTED_VALUE"""),347)</f>
        <v>347</v>
      </c>
      <c r="G166" s="1" t="str">
        <f>IFERROR(__xludf.DUMMYFUNCTION("""COMPUTED_VALUE"""),"Jewellery &amp; Brochures")</f>
        <v>Jewellery &amp; Brochures</v>
      </c>
      <c r="H166" s="1">
        <f>IFERROR(__xludf.DUMMYFUNCTION("""COMPUTED_VALUE"""),3)</f>
        <v>3</v>
      </c>
      <c r="I166" s="1"/>
      <c r="J166" s="1">
        <f>IFERROR(__xludf.DUMMYFUNCTION("""COMPUTED_VALUE"""),0.29)</f>
        <v>0.29</v>
      </c>
      <c r="K166" s="1">
        <f>IFERROR(__xludf.DUMMYFUNCTION("""COMPUTED_VALUE"""),71)</f>
        <v>71</v>
      </c>
      <c r="L166" s="1" t="str">
        <f>IFERROR(__xludf.DUMMYFUNCTION("""COMPUTED_VALUE"""),"Yes")</f>
        <v>Yes</v>
      </c>
      <c r="M166" s="1" t="str">
        <f>IFERROR(__xludf.DUMMYFUNCTION("""COMPUTED_VALUE"""),"Yes")</f>
        <v>Yes</v>
      </c>
      <c r="N166" s="1" t="str">
        <f>IFERROR(__xludf.DUMMYFUNCTION("""COMPUTED_VALUE"""),"China")</f>
        <v>China</v>
      </c>
      <c r="O166" s="1" t="str">
        <f>IFERROR(__xludf.DUMMYFUNCTION("""COMPUTED_VALUE"""),"Shenzhen")</f>
        <v>Shenzhen</v>
      </c>
      <c r="P166" s="1" t="str">
        <f>IFERROR(__xludf.DUMMYFUNCTION("""COMPUTED_VALUE"""),"South Africa")</f>
        <v>South Africa</v>
      </c>
      <c r="Q166" s="1" t="str">
        <f>IFERROR(__xludf.DUMMYFUNCTION("""COMPUTED_VALUE"""),"Johannesburg")</f>
        <v>Johannesburg</v>
      </c>
      <c r="R166" s="1" t="str">
        <f>IFERROR(__xludf.DUMMYFUNCTION("""COMPUTED_VALUE"""),"Air")</f>
        <v>Air</v>
      </c>
      <c r="S166" s="1" t="str">
        <f>IFERROR(__xludf.DUMMYFUNCTION("""COMPUTED_VALUE"""),"EXW")</f>
        <v>EXW</v>
      </c>
      <c r="T166" s="1" t="str">
        <f>IFERROR(__xludf.DUMMYFUNCTION("""COMPUTED_VALUE"""),"Shenzhen Nimbus Co Ltd")</f>
        <v>Shenzhen Nimbus Co Ltd</v>
      </c>
      <c r="U166" s="1"/>
      <c r="V166" s="1" t="str">
        <f>IFERROR(__xludf.DUMMYFUNCTION("""COMPUTED_VALUE"""),"support@asiadirect.africa")</f>
        <v>support@asiadirect.africa</v>
      </c>
      <c r="W166" s="1"/>
      <c r="X166" s="1"/>
      <c r="Y166" s="1"/>
    </row>
    <row r="167" customHeight="1" spans="1:25">
      <c r="A167" s="1" t="str">
        <f>IFERROR(__xludf.DUMMYFUNCTION("""COMPUTED_VALUE"""),"QuNHuaPDuqXzlEnJDq1axn")</f>
        <v>QuNHuaPDuqXzlEnJDq1axn</v>
      </c>
      <c r="B167" s="1">
        <f>IFERROR(__xludf.DUMMYFUNCTION("""COMPUTED_VALUE"""),166)</f>
        <v>166</v>
      </c>
      <c r="C167" s="1" t="str">
        <f>IFERROR(__xludf.DUMMYFUNCTION("""COMPUTED_VALUE"""),"DL166")</f>
        <v>DL166</v>
      </c>
      <c r="D167" s="2">
        <f>IFERROR(__xludf.DUMMYFUNCTION("""COMPUTED_VALUE"""),45414)</f>
        <v>45414</v>
      </c>
      <c r="E167" s="1" t="str">
        <f>IFERROR(__xludf.DUMMYFUNCTION("""COMPUTED_VALUE"""),"Keo Christina")</f>
        <v>Keo Christina</v>
      </c>
      <c r="F167" s="1">
        <f>IFERROR(__xludf.DUMMYFUNCTION("""COMPUTED_VALUE"""),389)</f>
        <v>389</v>
      </c>
      <c r="G167" s="1" t="str">
        <f>IFERROR(__xludf.DUMMYFUNCTION("""COMPUTED_VALUE"""),"Bedroom closet, wardrobe, Kitchen, Sanitary and tiles")</f>
        <v>Bedroom closet, wardrobe, Kitchen, Sanitary and tiles</v>
      </c>
      <c r="H167" s="1">
        <f>IFERROR(__xludf.DUMMYFUNCTION("""COMPUTED_VALUE"""),537)</f>
        <v>537</v>
      </c>
      <c r="I167" s="1"/>
      <c r="J167" s="1">
        <f>IFERROR(__xludf.DUMMYFUNCTION("""COMPUTED_VALUE"""),28)</f>
        <v>28</v>
      </c>
      <c r="K167" s="1">
        <f>IFERROR(__xludf.DUMMYFUNCTION("""COMPUTED_VALUE"""),18110)</f>
        <v>18110</v>
      </c>
      <c r="L167" s="1" t="str">
        <f>IFERROR(__xludf.DUMMYFUNCTION("""COMPUTED_VALUE"""),"Yes")</f>
        <v>Yes</v>
      </c>
      <c r="M167" s="1" t="str">
        <f>IFERROR(__xludf.DUMMYFUNCTION("""COMPUTED_VALUE"""),"Yes")</f>
        <v>Yes</v>
      </c>
      <c r="N167" s="1" t="str">
        <f>IFERROR(__xludf.DUMMYFUNCTION("""COMPUTED_VALUE"""),"China")</f>
        <v>China</v>
      </c>
      <c r="O167" s="1" t="str">
        <f>IFERROR(__xludf.DUMMYFUNCTION("""COMPUTED_VALUE"""),"Hongkong")</f>
        <v>Hongkong</v>
      </c>
      <c r="P167" s="1" t="str">
        <f>IFERROR(__xludf.DUMMYFUNCTION("""COMPUTED_VALUE"""),"South Africa")</f>
        <v>South Africa</v>
      </c>
      <c r="Q167" s="1" t="str">
        <f>IFERROR(__xludf.DUMMYFUNCTION("""COMPUTED_VALUE"""),"Rustenburg")</f>
        <v>Rustenburg</v>
      </c>
      <c r="R167" s="1" t="str">
        <f>IFERROR(__xludf.DUMMYFUNCTION("""COMPUTED_VALUE"""),"Sea")</f>
        <v>Sea</v>
      </c>
      <c r="S167" s="1" t="str">
        <f>IFERROR(__xludf.DUMMYFUNCTION("""COMPUTED_VALUE"""),"CFR")</f>
        <v>CFR</v>
      </c>
      <c r="T167" s="1" t="str">
        <f>IFERROR(__xludf.DUMMYFUNCTION("""COMPUTED_VALUE"""),"DAN YANG TRADING CO.,LIMITED")</f>
        <v>DAN YANG TRADING CO.,LIMITED</v>
      </c>
      <c r="U167" s="1" t="str">
        <f>IFERROR(__xludf.DUMMYFUNCTION("""COMPUTED_VALUE"""),"FLAT/RM 803 CHEVALIER HOUSE 45-51 CHATHAM ROAD SOUTH TSIM SHA TSUI KL HONG KONG")</f>
        <v>FLAT/RM 803 CHEVALIER HOUSE 45-51 CHATHAM ROAD SOUTH TSIM SHA TSUI KL HONG KONG</v>
      </c>
      <c r="V167" s="1"/>
      <c r="W167" s="1" t="str">
        <f>IFERROR(__xludf.DUMMYFUNCTION("""COMPUTED_VALUE"""),"+86 158 1362 6676")</f>
        <v>+86 158 1362 6676</v>
      </c>
      <c r="X167" s="1"/>
      <c r="Y167" s="1"/>
    </row>
    <row r="168" customHeight="1" spans="1:25">
      <c r="A168" s="1" t="str">
        <f>IFERROR(__xludf.DUMMYFUNCTION("""COMPUTED_VALUE"""),"X317Pj6bqIeRaFYZyKfwD3")</f>
        <v>X317Pj6bqIeRaFYZyKfwD3</v>
      </c>
      <c r="B168" s="1">
        <f>IFERROR(__xludf.DUMMYFUNCTION("""COMPUTED_VALUE"""),167)</f>
        <v>167</v>
      </c>
      <c r="C168" s="1" t="str">
        <f>IFERROR(__xludf.DUMMYFUNCTION("""COMPUTED_VALUE"""),"DL167")</f>
        <v>DL167</v>
      </c>
      <c r="D168" s="2">
        <f>IFERROR(__xludf.DUMMYFUNCTION("""COMPUTED_VALUE"""),45426)</f>
        <v>45426</v>
      </c>
      <c r="E168" s="1" t="str">
        <f>IFERROR(__xludf.DUMMYFUNCTION("""COMPUTED_VALUE"""),"Osvaldo Nunes - Valdo Group")</f>
        <v>Osvaldo Nunes - Valdo Group</v>
      </c>
      <c r="F168" s="1">
        <f>IFERROR(__xludf.DUMMYFUNCTION("""COMPUTED_VALUE"""),494)</f>
        <v>494</v>
      </c>
      <c r="G168" s="1" t="str">
        <f>IFERROR(__xludf.DUMMYFUNCTION("""COMPUTED_VALUE"""),"Conveyor")</f>
        <v>Conveyor</v>
      </c>
      <c r="H168" s="1">
        <f>IFERROR(__xludf.DUMMYFUNCTION("""COMPUTED_VALUE"""),1)</f>
        <v>1</v>
      </c>
      <c r="I168" s="1"/>
      <c r="J168" s="1">
        <f>IFERROR(__xludf.DUMMYFUNCTION("""COMPUTED_VALUE"""),0.4)</f>
        <v>0.4</v>
      </c>
      <c r="K168" s="1">
        <f>IFERROR(__xludf.DUMMYFUNCTION("""COMPUTED_VALUE"""),78)</f>
        <v>78</v>
      </c>
      <c r="L168" s="1" t="str">
        <f>IFERROR(__xludf.DUMMYFUNCTION("""COMPUTED_VALUE"""),"Yes")</f>
        <v>Yes</v>
      </c>
      <c r="M168" s="1" t="str">
        <f>IFERROR(__xludf.DUMMYFUNCTION("""COMPUTED_VALUE"""),"Yes")</f>
        <v>Yes</v>
      </c>
      <c r="N168" s="1" t="str">
        <f>IFERROR(__xludf.DUMMYFUNCTION("""COMPUTED_VALUE"""),"China")</f>
        <v>China</v>
      </c>
      <c r="O168" s="1" t="str">
        <f>IFERROR(__xludf.DUMMYFUNCTION("""COMPUTED_VALUE"""),"Guangzhou")</f>
        <v>Guangzhou</v>
      </c>
      <c r="P168" s="1" t="str">
        <f>IFERROR(__xludf.DUMMYFUNCTION("""COMPUTED_VALUE"""),"South Africa")</f>
        <v>South Africa</v>
      </c>
      <c r="Q168" s="1" t="str">
        <f>IFERROR(__xludf.DUMMYFUNCTION("""COMPUTED_VALUE"""),"Johannesburg")</f>
        <v>Johannesburg</v>
      </c>
      <c r="R168" s="1" t="str">
        <f>IFERROR(__xludf.DUMMYFUNCTION("""COMPUTED_VALUE"""),"Air")</f>
        <v>Air</v>
      </c>
      <c r="S168" s="1" t="str">
        <f>IFERROR(__xludf.DUMMYFUNCTION("""COMPUTED_VALUE"""),"FCA")</f>
        <v>FCA</v>
      </c>
      <c r="T168" s="1" t="str">
        <f>IFERROR(__xludf.DUMMYFUNCTION("""COMPUTED_VALUE"""),"Sheznhen Nimbus Shipping Co Ltd")</f>
        <v>Sheznhen Nimbus Shipping Co Ltd</v>
      </c>
      <c r="U168" s="1"/>
      <c r="V168" s="1"/>
      <c r="W168" s="1"/>
      <c r="X168" s="1"/>
      <c r="Y168" s="1"/>
    </row>
    <row r="169" customHeight="1" spans="1:25">
      <c r="A169" s="1" t="str">
        <f>IFERROR(__xludf.DUMMYFUNCTION("""COMPUTED_VALUE"""),"JaYGT6svwGjICFrB0QzRgQ")</f>
        <v>JaYGT6svwGjICFrB0QzRgQ</v>
      </c>
      <c r="B169" s="1">
        <f>IFERROR(__xludf.DUMMYFUNCTION("""COMPUTED_VALUE"""),168)</f>
        <v>168</v>
      </c>
      <c r="C169" s="1" t="str">
        <f>IFERROR(__xludf.DUMMYFUNCTION("""COMPUTED_VALUE"""),"DL168")</f>
        <v>DL168</v>
      </c>
      <c r="D169" s="2">
        <f>IFERROR(__xludf.DUMMYFUNCTION("""COMPUTED_VALUE"""),45427)</f>
        <v>45427</v>
      </c>
      <c r="E169" s="1" t="str">
        <f>IFERROR(__xludf.DUMMYFUNCTION("""COMPUTED_VALUE"""),"TOP TECH CATERING")</f>
        <v>TOP TECH CATERING</v>
      </c>
      <c r="F169" s="1">
        <f>IFERROR(__xludf.DUMMYFUNCTION("""COMPUTED_VALUE"""),82)</f>
        <v>82</v>
      </c>
      <c r="G169" s="1" t="str">
        <f>IFERROR(__xludf.DUMMYFUNCTION("""COMPUTED_VALUE"""),"Tanks, Spirals and Shaft")</f>
        <v>Tanks, Spirals and Shaft</v>
      </c>
      <c r="H169" s="1">
        <f>IFERROR(__xludf.DUMMYFUNCTION("""COMPUTED_VALUE"""),3)</f>
        <v>3</v>
      </c>
      <c r="I169" s="1"/>
      <c r="J169" s="1">
        <f>IFERROR(__xludf.DUMMYFUNCTION("""COMPUTED_VALUE"""),0.99)</f>
        <v>0.99</v>
      </c>
      <c r="K169" s="1">
        <f>IFERROR(__xludf.DUMMYFUNCTION("""COMPUTED_VALUE"""),190)</f>
        <v>190</v>
      </c>
      <c r="L169" s="1"/>
      <c r="M169" s="1"/>
      <c r="N169" s="1"/>
      <c r="O169" s="1"/>
      <c r="P169" s="1"/>
      <c r="Q169" s="1"/>
      <c r="R169" s="1" t="str">
        <f>IFERROR(__xludf.DUMMYFUNCTION("""COMPUTED_VALUE"""),"Sea")</f>
        <v>Sea</v>
      </c>
      <c r="S169" s="1" t="str">
        <f>IFERROR(__xludf.DUMMYFUNCTION("""COMPUTED_VALUE"""),"FCA")</f>
        <v>FCA</v>
      </c>
      <c r="T169" s="1"/>
      <c r="U169" s="1"/>
      <c r="V169" s="1"/>
      <c r="W169" s="1"/>
      <c r="X169" s="1"/>
      <c r="Y169" s="1"/>
    </row>
    <row r="170" customHeight="1" spans="1:25">
      <c r="A170" s="1" t="str">
        <f>IFERROR(__xludf.DUMMYFUNCTION("""COMPUTED_VALUE"""),"XeupsBWWqUFzSd4GDhXyd1")</f>
        <v>XeupsBWWqUFzSd4GDhXyd1</v>
      </c>
      <c r="B170" s="1">
        <f>IFERROR(__xludf.DUMMYFUNCTION("""COMPUTED_VALUE"""),597)</f>
        <v>597</v>
      </c>
      <c r="C170" s="1" t="str">
        <f>IFERROR(__xludf.DUMMYFUNCTION("""COMPUTED_VALUE"""),"DL169")</f>
        <v>DL169</v>
      </c>
      <c r="D170" s="2">
        <f>IFERROR(__xludf.DUMMYFUNCTION("""COMPUTED_VALUE"""),45428)</f>
        <v>45428</v>
      </c>
      <c r="E170" s="1" t="str">
        <f>IFERROR(__xludf.DUMMYFUNCTION("""COMPUTED_VALUE"""),"Brent Badenhorst")</f>
        <v>Brent Badenhorst</v>
      </c>
      <c r="F170" s="1">
        <f>IFERROR(__xludf.DUMMYFUNCTION("""COMPUTED_VALUE"""),152)</f>
        <v>152</v>
      </c>
      <c r="G170" s="1" t="str">
        <f>IFERROR(__xludf.DUMMYFUNCTION("""COMPUTED_VALUE"""),"Webbing Straps")</f>
        <v>Webbing Straps</v>
      </c>
      <c r="H170" s="1">
        <f>IFERROR(__xludf.DUMMYFUNCTION("""COMPUTED_VALUE"""),5)</f>
        <v>5</v>
      </c>
      <c r="I170" s="1"/>
      <c r="J170" s="1">
        <f>IFERROR(__xludf.DUMMYFUNCTION("""COMPUTED_VALUE"""),0.66)</f>
        <v>0.66</v>
      </c>
      <c r="K170" s="1">
        <f>IFERROR(__xludf.DUMMYFUNCTION("""COMPUTED_VALUE"""),133.34)</f>
        <v>133.34</v>
      </c>
      <c r="L170" s="1" t="str">
        <f>IFERROR(__xludf.DUMMYFUNCTION("""COMPUTED_VALUE"""),"Yes")</f>
        <v>Yes</v>
      </c>
      <c r="M170" s="1" t="str">
        <f>IFERROR(__xludf.DUMMYFUNCTION("""COMPUTED_VALUE"""),"Yes")</f>
        <v>Yes</v>
      </c>
      <c r="N170" s="1" t="str">
        <f>IFERROR(__xludf.DUMMYFUNCTION("""COMPUTED_VALUE"""),"China")</f>
        <v>China</v>
      </c>
      <c r="O170" s="1" t="str">
        <f>IFERROR(__xludf.DUMMYFUNCTION("""COMPUTED_VALUE"""),"Shenzhen")</f>
        <v>Shenzhen</v>
      </c>
      <c r="P170" s="1" t="str">
        <f>IFERROR(__xludf.DUMMYFUNCTION("""COMPUTED_VALUE"""),"South Africa")</f>
        <v>South Africa</v>
      </c>
      <c r="Q170" s="1" t="str">
        <f>IFERROR(__xludf.DUMMYFUNCTION("""COMPUTED_VALUE"""),"Durban")</f>
        <v>Durban</v>
      </c>
      <c r="R170" s="1" t="str">
        <f>IFERROR(__xludf.DUMMYFUNCTION("""COMPUTED_VALUE"""),"Sea")</f>
        <v>Sea</v>
      </c>
      <c r="S170" s="1" t="str">
        <f>IFERROR(__xludf.DUMMYFUNCTION("""COMPUTED_VALUE"""),"FCA")</f>
        <v>FCA</v>
      </c>
      <c r="T170" s="1" t="str">
        <f>IFERROR(__xludf.DUMMYFUNCTION("""COMPUTED_VALUE"""),"Shenzhen Nimbus Shipping Co Ltd")</f>
        <v>Shenzhen Nimbus Shipping Co Ltd</v>
      </c>
      <c r="U170" s="1" t="str">
        <f>IFERROR(__xludf.DUMMYFUNCTION("""COMPUTED_VALUE"""),"Guangdong province Shenzhen Pinghu sinotrans warehouse")</f>
        <v>Guangdong province Shenzhen Pinghu sinotrans warehouse</v>
      </c>
      <c r="V170" s="1"/>
      <c r="W170" s="1"/>
      <c r="X170" s="1"/>
      <c r="Y170" s="1"/>
    </row>
    <row r="171" customHeight="1" spans="1:25">
      <c r="A171" s="1" t="str">
        <f>IFERROR(__xludf.DUMMYFUNCTION("""COMPUTED_VALUE"""),"YbCJq3v2v7nmEVCikp3c6y")</f>
        <v>YbCJq3v2v7nmEVCikp3c6y</v>
      </c>
      <c r="B171" s="1">
        <f>IFERROR(__xludf.DUMMYFUNCTION("""COMPUTED_VALUE"""),521)</f>
        <v>521</v>
      </c>
      <c r="C171" s="1" t="str">
        <f>IFERROR(__xludf.DUMMYFUNCTION("""COMPUTED_VALUE"""),"DL170")</f>
        <v>DL170</v>
      </c>
      <c r="D171" s="2">
        <f>IFERROR(__xludf.DUMMYFUNCTION("""COMPUTED_VALUE"""),45344)</f>
        <v>45344</v>
      </c>
      <c r="E171" s="1" t="str">
        <f>IFERROR(__xludf.DUMMYFUNCTION("""COMPUTED_VALUE"""),"Geleza Tech")</f>
        <v>Geleza Tech</v>
      </c>
      <c r="F171" s="1">
        <f>IFERROR(__xludf.DUMMYFUNCTION("""COMPUTED_VALUE"""),159)</f>
        <v>159</v>
      </c>
      <c r="G171" s="1" t="str">
        <f>IFERROR(__xludf.DUMMYFUNCTION("""COMPUTED_VALUE"""),"Calculators")</f>
        <v>Calculators</v>
      </c>
      <c r="H171" s="1">
        <f>IFERROR(__xludf.DUMMYFUNCTION("""COMPUTED_VALUE"""),7)</f>
        <v>7</v>
      </c>
      <c r="I171" s="1"/>
      <c r="J171" s="1">
        <f>IFERROR(__xludf.DUMMYFUNCTION("""COMPUTED_VALUE"""),0.35)</f>
        <v>0.35</v>
      </c>
      <c r="K171" s="1">
        <f>IFERROR(__xludf.DUMMYFUNCTION("""COMPUTED_VALUE"""),126)</f>
        <v>126</v>
      </c>
      <c r="L171" s="1" t="str">
        <f>IFERROR(__xludf.DUMMYFUNCTION("""COMPUTED_VALUE"""),"Yes")</f>
        <v>Yes</v>
      </c>
      <c r="M171" s="1" t="str">
        <f>IFERROR(__xludf.DUMMYFUNCTION("""COMPUTED_VALUE"""),"Yes")</f>
        <v>Yes</v>
      </c>
      <c r="N171" s="1" t="str">
        <f>IFERROR(__xludf.DUMMYFUNCTION("""COMPUTED_VALUE"""),"China")</f>
        <v>China</v>
      </c>
      <c r="O171" s="1" t="str">
        <f>IFERROR(__xludf.DUMMYFUNCTION("""COMPUTED_VALUE"""),"Shenzhen")</f>
        <v>Shenzhen</v>
      </c>
      <c r="P171" s="1" t="str">
        <f>IFERROR(__xludf.DUMMYFUNCTION("""COMPUTED_VALUE"""),"South Africa")</f>
        <v>South Africa</v>
      </c>
      <c r="Q171" s="1" t="str">
        <f>IFERROR(__xludf.DUMMYFUNCTION("""COMPUTED_VALUE"""),"Johannesburg")</f>
        <v>Johannesburg</v>
      </c>
      <c r="R171" s="1" t="str">
        <f>IFERROR(__xludf.DUMMYFUNCTION("""COMPUTED_VALUE"""),"Sea")</f>
        <v>Sea</v>
      </c>
      <c r="S171" s="1" t="str">
        <f>IFERROR(__xludf.DUMMYFUNCTION("""COMPUTED_VALUE"""),"FCA")</f>
        <v>FCA</v>
      </c>
      <c r="T171" s="1" t="str">
        <f>IFERROR(__xludf.DUMMYFUNCTION("""COMPUTED_VALUE"""),"Nimbus Shenzhen Shipping Co Ltd")</f>
        <v>Nimbus Shenzhen Shipping Co Ltd</v>
      </c>
      <c r="U171" s="1" t="str">
        <f>IFERROR(__xludf.DUMMYFUNCTION("""COMPUTED_VALUE"""),"Guangdong province Shenzhen Pinghu sinotrans warehouse")</f>
        <v>Guangdong province Shenzhen Pinghu sinotrans warehouse</v>
      </c>
      <c r="V171" s="1"/>
      <c r="W171" s="1"/>
      <c r="X171" s="1"/>
      <c r="Y171" s="1"/>
    </row>
    <row r="172" customHeight="1" spans="1:25">
      <c r="A172" s="1" t="str">
        <f>IFERROR(__xludf.DUMMYFUNCTION("""COMPUTED_VALUE"""),"yRjp6JuQLtBWzBE0d5X0Qh")</f>
        <v>yRjp6JuQLtBWzBE0d5X0Qh</v>
      </c>
      <c r="B172" s="1">
        <f>IFERROR(__xludf.DUMMYFUNCTION("""COMPUTED_VALUE"""),680)</f>
        <v>680</v>
      </c>
      <c r="C172" s="1" t="str">
        <f>IFERROR(__xludf.DUMMYFUNCTION("""COMPUTED_VALUE"""),"DL171")</f>
        <v>DL171</v>
      </c>
      <c r="D172" s="2">
        <f>IFERROR(__xludf.DUMMYFUNCTION("""COMPUTED_VALUE"""),45437)</f>
        <v>45437</v>
      </c>
      <c r="E172" s="1" t="str">
        <f>IFERROR(__xludf.DUMMYFUNCTION("""COMPUTED_VALUE"""),"Jaco Grobler")</f>
        <v>Jaco Grobler</v>
      </c>
      <c r="F172" s="1">
        <f>IFERROR(__xludf.DUMMYFUNCTION("""COMPUTED_VALUE"""),38)</f>
        <v>38</v>
      </c>
      <c r="G172" s="1" t="str">
        <f>IFERROR(__xludf.DUMMYFUNCTION("""COMPUTED_VALUE"""),"Shaving Stand and Al Soap Box")</f>
        <v>Shaving Stand and Al Soap Box</v>
      </c>
      <c r="H172" s="1">
        <f>IFERROR(__xludf.DUMMYFUNCTION("""COMPUTED_VALUE"""),4)</f>
        <v>4</v>
      </c>
      <c r="I172" s="1"/>
      <c r="J172" s="1">
        <f>IFERROR(__xludf.DUMMYFUNCTION("""COMPUTED_VALUE"""),0.37)</f>
        <v>0.37</v>
      </c>
      <c r="K172" s="1">
        <f>IFERROR(__xludf.DUMMYFUNCTION("""COMPUTED_VALUE"""),62)</f>
        <v>62</v>
      </c>
      <c r="L172" s="1" t="str">
        <f>IFERROR(__xludf.DUMMYFUNCTION("""COMPUTED_VALUE"""),"Yes")</f>
        <v>Yes</v>
      </c>
      <c r="M172" s="1" t="str">
        <f>IFERROR(__xludf.DUMMYFUNCTION("""COMPUTED_VALUE"""),"Yes")</f>
        <v>Yes</v>
      </c>
      <c r="N172" s="1" t="str">
        <f>IFERROR(__xludf.DUMMYFUNCTION("""COMPUTED_VALUE"""),"China")</f>
        <v>China</v>
      </c>
      <c r="O172" s="1" t="str">
        <f>IFERROR(__xludf.DUMMYFUNCTION("""COMPUTED_VALUE"""),"Shenzhen")</f>
        <v>Shenzhen</v>
      </c>
      <c r="P172" s="1" t="str">
        <f>IFERROR(__xludf.DUMMYFUNCTION("""COMPUTED_VALUE"""),"South Africa")</f>
        <v>South Africa</v>
      </c>
      <c r="Q172" s="1" t="str">
        <f>IFERROR(__xludf.DUMMYFUNCTION("""COMPUTED_VALUE"""),"Johannesburg")</f>
        <v>Johannesburg</v>
      </c>
      <c r="R172" s="1" t="str">
        <f>IFERROR(__xludf.DUMMYFUNCTION("""COMPUTED_VALUE"""),"Sea")</f>
        <v>Sea</v>
      </c>
      <c r="S172" s="1" t="str">
        <f>IFERROR(__xludf.DUMMYFUNCTION("""COMPUTED_VALUE"""),"FCA")</f>
        <v>FCA</v>
      </c>
      <c r="T172" s="1" t="str">
        <f>IFERROR(__xludf.DUMMYFUNCTION("""COMPUTED_VALUE"""),"Shenzhen Nimbus Shipping Co Ltd")</f>
        <v>Shenzhen Nimbus Shipping Co Ltd</v>
      </c>
      <c r="U172" s="1" t="str">
        <f>IFERROR(__xludf.DUMMYFUNCTION("""COMPUTED_VALUE"""),"Guangdong province Shenzhen Pinghu sinotrans warehouse")</f>
        <v>Guangdong province Shenzhen Pinghu sinotrans warehouse</v>
      </c>
      <c r="V172" s="1"/>
      <c r="W172" s="1"/>
      <c r="X172" s="1"/>
      <c r="Y172" s="1"/>
    </row>
    <row r="173" customHeight="1" spans="1:25">
      <c r="A173" s="1" t="str">
        <f>IFERROR(__xludf.DUMMYFUNCTION("""COMPUTED_VALUE"""),"e2YOLtfLfobRfRRMce3a9i")</f>
        <v>e2YOLtfLfobRfRRMce3a9i</v>
      </c>
      <c r="B173" s="1">
        <f>IFERROR(__xludf.DUMMYFUNCTION("""COMPUTED_VALUE"""),172)</f>
        <v>172</v>
      </c>
      <c r="C173" s="1" t="str">
        <f>IFERROR(__xludf.DUMMYFUNCTION("""COMPUTED_VALUE"""),"DL172")</f>
        <v>DL172</v>
      </c>
      <c r="D173" s="2">
        <f>IFERROR(__xludf.DUMMYFUNCTION("""COMPUTED_VALUE"""),45432)</f>
        <v>45432</v>
      </c>
      <c r="E173" s="1" t="str">
        <f>IFERROR(__xludf.DUMMYFUNCTION("""COMPUTED_VALUE"""),"Mpumatech Stainless Tube (Pty) Ltd")</f>
        <v>Mpumatech Stainless Tube (Pty) Ltd</v>
      </c>
      <c r="F173" s="1">
        <f>IFERROR(__xludf.DUMMYFUNCTION("""COMPUTED_VALUE"""),414)</f>
        <v>414</v>
      </c>
      <c r="G173" s="1" t="str">
        <f>IFERROR(__xludf.DUMMYFUNCTION("""COMPUTED_VALUE"""),"V Belts")</f>
        <v>V Belts</v>
      </c>
      <c r="H173" s="1">
        <f>IFERROR(__xludf.DUMMYFUNCTION("""COMPUTED_VALUE"""),3)</f>
        <v>3</v>
      </c>
      <c r="I173" s="1"/>
      <c r="J173" s="1">
        <f>IFERROR(__xludf.DUMMYFUNCTION("""COMPUTED_VALUE"""),0.32)</f>
        <v>0.32</v>
      </c>
      <c r="K173" s="1">
        <f>IFERROR(__xludf.DUMMYFUNCTION("""COMPUTED_VALUE"""),66)</f>
        <v>66</v>
      </c>
      <c r="L173" s="1" t="str">
        <f>IFERROR(__xludf.DUMMYFUNCTION("""COMPUTED_VALUE"""),"Yes")</f>
        <v>Yes</v>
      </c>
      <c r="M173" s="1" t="str">
        <f>IFERROR(__xludf.DUMMYFUNCTION("""COMPUTED_VALUE"""),"Yes")</f>
        <v>Yes</v>
      </c>
      <c r="N173" s="1" t="str">
        <f>IFERROR(__xludf.DUMMYFUNCTION("""COMPUTED_VALUE"""),"South Africa")</f>
        <v>South Africa</v>
      </c>
      <c r="O173" s="1" t="str">
        <f>IFERROR(__xludf.DUMMYFUNCTION("""COMPUTED_VALUE"""),"Sandton")</f>
        <v>Sandton</v>
      </c>
      <c r="P173" s="1" t="str">
        <f>IFERROR(__xludf.DUMMYFUNCTION("""COMPUTED_VALUE"""),"Mali")</f>
        <v>Mali</v>
      </c>
      <c r="Q173" s="1" t="str">
        <f>IFERROR(__xludf.DUMMYFUNCTION("""COMPUTED_VALUE"""),"Bamako")</f>
        <v>Bamako</v>
      </c>
      <c r="R173" s="1" t="str">
        <f>IFERROR(__xludf.DUMMYFUNCTION("""COMPUTED_VALUE"""),"Air")</f>
        <v>Air</v>
      </c>
      <c r="S173" s="1" t="str">
        <f>IFERROR(__xludf.DUMMYFUNCTION("""COMPUTED_VALUE"""),"EXW")</f>
        <v>EXW</v>
      </c>
      <c r="T173" s="1" t="str">
        <f>IFERROR(__xludf.DUMMYFUNCTION("""COMPUTED_VALUE"""),"Asia Direct")</f>
        <v>Asia Direct</v>
      </c>
      <c r="U173" s="1" t="str">
        <f>IFERROR(__xludf.DUMMYFUNCTION("""COMPUTED_VALUE"""),"Glen marais, Kempton Park, 1619, South Africa")</f>
        <v>Glen marais, Kempton Park, 1619, South Africa</v>
      </c>
      <c r="V173" s="1"/>
      <c r="W173" s="1"/>
      <c r="X173" s="1"/>
      <c r="Y173" s="1"/>
    </row>
    <row r="174" customHeight="1" spans="1:25">
      <c r="A174" s="1" t="str">
        <f>IFERROR(__xludf.DUMMYFUNCTION("""COMPUTED_VALUE"""),"L2CRrpDlisqWZv1kyOumfW")</f>
        <v>L2CRrpDlisqWZv1kyOumfW</v>
      </c>
      <c r="B174" s="1">
        <f>IFERROR(__xludf.DUMMYFUNCTION("""COMPUTED_VALUE"""),173)</f>
        <v>173</v>
      </c>
      <c r="C174" s="1" t="str">
        <f>IFERROR(__xludf.DUMMYFUNCTION("""COMPUTED_VALUE"""),"DL173")</f>
        <v>DL173</v>
      </c>
      <c r="D174" s="2">
        <f>IFERROR(__xludf.DUMMYFUNCTION("""COMPUTED_VALUE"""),45418)</f>
        <v>45418</v>
      </c>
      <c r="E174" s="1" t="str">
        <f>IFERROR(__xludf.DUMMYFUNCTION("""COMPUTED_VALUE"""),"Heide med pharmacy")</f>
        <v>Heide med pharmacy</v>
      </c>
      <c r="F174" s="1">
        <f>IFERROR(__xludf.DUMMYFUNCTION("""COMPUTED_VALUE"""),483)</f>
        <v>483</v>
      </c>
      <c r="G174" s="1" t="str">
        <f>IFERROR(__xludf.DUMMYFUNCTION("""COMPUTED_VALUE"""),"Medical Supplier's")</f>
        <v>Medical Supplier's</v>
      </c>
      <c r="H174" s="1">
        <f>IFERROR(__xludf.DUMMYFUNCTION("""COMPUTED_VALUE"""),1)</f>
        <v>1</v>
      </c>
      <c r="I174" s="1"/>
      <c r="J174" s="1">
        <f>IFERROR(__xludf.DUMMYFUNCTION("""COMPUTED_VALUE"""),0.07)</f>
        <v>0.07</v>
      </c>
      <c r="K174" s="1">
        <f>IFERROR(__xludf.DUMMYFUNCTION("""COMPUTED_VALUE"""),14.51)</f>
        <v>14.51</v>
      </c>
      <c r="L174" s="1" t="str">
        <f>IFERROR(__xludf.DUMMYFUNCTION("""COMPUTED_VALUE"""),"Yes")</f>
        <v>Yes</v>
      </c>
      <c r="M174" s="1" t="str">
        <f>IFERROR(__xludf.DUMMYFUNCTION("""COMPUTED_VALUE"""),"Yes")</f>
        <v>Yes</v>
      </c>
      <c r="N174" s="1" t="str">
        <f>IFERROR(__xludf.DUMMYFUNCTION("""COMPUTED_VALUE"""),"China")</f>
        <v>China</v>
      </c>
      <c r="O174" s="1" t="str">
        <f>IFERROR(__xludf.DUMMYFUNCTION("""COMPUTED_VALUE"""),"Zhejian")</f>
        <v>Zhejian</v>
      </c>
      <c r="P174" s="1" t="str">
        <f>IFERROR(__xludf.DUMMYFUNCTION("""COMPUTED_VALUE"""),"South Africa")</f>
        <v>South Africa</v>
      </c>
      <c r="Q174" s="1" t="str">
        <f>IFERROR(__xludf.DUMMYFUNCTION("""COMPUTED_VALUE"""),"Johannesburg")</f>
        <v>Johannesburg</v>
      </c>
      <c r="R174" s="1" t="str">
        <f>IFERROR(__xludf.DUMMYFUNCTION("""COMPUTED_VALUE"""),"Air")</f>
        <v>Air</v>
      </c>
      <c r="S174" s="1" t="str">
        <f>IFERROR(__xludf.DUMMYFUNCTION("""COMPUTED_VALUE"""),"FCA")</f>
        <v>FCA</v>
      </c>
      <c r="T174" s="1" t="str">
        <f>IFERROR(__xludf.DUMMYFUNCTION("""COMPUTED_VALUE"""),"OBD LOGISTICS CO LTD")</f>
        <v>OBD LOGISTICS CO LTD</v>
      </c>
      <c r="U174" s="1"/>
      <c r="V174" s="1"/>
      <c r="W174" s="1"/>
      <c r="X174" s="1"/>
      <c r="Y174" s="1"/>
    </row>
    <row r="175" customHeight="1" spans="1:25">
      <c r="A175" s="1" t="str">
        <f>IFERROR(__xludf.DUMMYFUNCTION("""COMPUTED_VALUE"""),"y3hAv1kslB5GtL8vYRMla0")</f>
        <v>y3hAv1kslB5GtL8vYRMla0</v>
      </c>
      <c r="B175" s="1">
        <f>IFERROR(__xludf.DUMMYFUNCTION("""COMPUTED_VALUE"""),690)</f>
        <v>690</v>
      </c>
      <c r="C175" s="1" t="str">
        <f>IFERROR(__xludf.DUMMYFUNCTION("""COMPUTED_VALUE"""),"DL174")</f>
        <v>DL174</v>
      </c>
      <c r="D175" s="2">
        <f>IFERROR(__xludf.DUMMYFUNCTION("""COMPUTED_VALUE"""),45434)</f>
        <v>45434</v>
      </c>
      <c r="E175" s="1" t="str">
        <f>IFERROR(__xludf.DUMMYFUNCTION("""COMPUTED_VALUE"""),"Zolile")</f>
        <v>Zolile</v>
      </c>
      <c r="F175" s="1">
        <f>IFERROR(__xludf.DUMMYFUNCTION("""COMPUTED_VALUE"""),191)</f>
        <v>191</v>
      </c>
      <c r="G175" s="1" t="str">
        <f>IFERROR(__xludf.DUMMYFUNCTION("""COMPUTED_VALUE"""),"Kids sandals")</f>
        <v>Kids sandals</v>
      </c>
      <c r="H175" s="1">
        <f>IFERROR(__xludf.DUMMYFUNCTION("""COMPUTED_VALUE"""),2)</f>
        <v>2</v>
      </c>
      <c r="I175" s="1"/>
      <c r="J175" s="1">
        <f>IFERROR(__xludf.DUMMYFUNCTION("""COMPUTED_VALUE"""),0.38)</f>
        <v>0.38</v>
      </c>
      <c r="K175" s="1">
        <f>IFERROR(__xludf.DUMMYFUNCTION("""COMPUTED_VALUE"""),76.85)</f>
        <v>76.85</v>
      </c>
      <c r="L175" s="1" t="str">
        <f>IFERROR(__xludf.DUMMYFUNCTION("""COMPUTED_VALUE"""),"Yes")</f>
        <v>Yes</v>
      </c>
      <c r="M175" s="1" t="str">
        <f>IFERROR(__xludf.DUMMYFUNCTION("""COMPUTED_VALUE"""),"Yes")</f>
        <v>Yes</v>
      </c>
      <c r="N175" s="1" t="str">
        <f>IFERROR(__xludf.DUMMYFUNCTION("""COMPUTED_VALUE"""),"China")</f>
        <v>China</v>
      </c>
      <c r="O175" s="1" t="str">
        <f>IFERROR(__xludf.DUMMYFUNCTION("""COMPUTED_VALUE"""),"Shenzhen")</f>
        <v>Shenzhen</v>
      </c>
      <c r="P175" s="1" t="str">
        <f>IFERROR(__xludf.DUMMYFUNCTION("""COMPUTED_VALUE"""),"South Africa")</f>
        <v>South Africa</v>
      </c>
      <c r="Q175" s="1" t="str">
        <f>IFERROR(__xludf.DUMMYFUNCTION("""COMPUTED_VALUE"""),"Durban")</f>
        <v>Durban</v>
      </c>
      <c r="R175" s="1" t="str">
        <f>IFERROR(__xludf.DUMMYFUNCTION("""COMPUTED_VALUE"""),"Sea")</f>
        <v>Sea</v>
      </c>
      <c r="S175" s="1" t="str">
        <f>IFERROR(__xludf.DUMMYFUNCTION("""COMPUTED_VALUE"""),"FCA")</f>
        <v>FCA</v>
      </c>
      <c r="T175" s="1" t="str">
        <f>IFERROR(__xludf.DUMMYFUNCTION("""COMPUTED_VALUE"""),"Shenzhen Nimbus Shipping Co Ltd")</f>
        <v>Shenzhen Nimbus Shipping Co Ltd</v>
      </c>
      <c r="U175" s="1" t="str">
        <f>IFERROR(__xludf.DUMMYFUNCTION("""COMPUTED_VALUE"""),"Guangdong province Shenzhen Pinghu sinotrans warehouse")</f>
        <v>Guangdong province Shenzhen Pinghu sinotrans warehouse</v>
      </c>
      <c r="V175" s="1"/>
      <c r="W175" s="1"/>
      <c r="X175" s="1"/>
      <c r="Y175" s="1"/>
    </row>
    <row r="176" customHeight="1" spans="1:25">
      <c r="A176" s="1" t="str">
        <f>IFERROR(__xludf.DUMMYFUNCTION("""COMPUTED_VALUE"""),"CYL2OwGq3cW3n3QSfOdibl")</f>
        <v>CYL2OwGq3cW3n3QSfOdibl</v>
      </c>
      <c r="B176" s="1">
        <f>IFERROR(__xludf.DUMMYFUNCTION("""COMPUTED_VALUE"""),175)</f>
        <v>175</v>
      </c>
      <c r="C176" s="1" t="str">
        <f>IFERROR(__xludf.DUMMYFUNCTION("""COMPUTED_VALUE"""),"DL175")</f>
        <v>DL175</v>
      </c>
      <c r="D176" s="2">
        <f>IFERROR(__xludf.DUMMYFUNCTION("""COMPUTED_VALUE"""),45439)</f>
        <v>45439</v>
      </c>
      <c r="E176" s="1" t="str">
        <f>IFERROR(__xludf.DUMMYFUNCTION("""COMPUTED_VALUE"""),"TOP TECH CATERING")</f>
        <v>TOP TECH CATERING</v>
      </c>
      <c r="F176" s="1">
        <f>IFERROR(__xludf.DUMMYFUNCTION("""COMPUTED_VALUE"""),82)</f>
        <v>82</v>
      </c>
      <c r="G176" s="1" t="str">
        <f>IFERROR(__xludf.DUMMYFUNCTION("""COMPUTED_VALUE"""),"Catering Equipment")</f>
        <v>Catering Equipment</v>
      </c>
      <c r="H176" s="1">
        <f>IFERROR(__xludf.DUMMYFUNCTION("""COMPUTED_VALUE"""),113)</f>
        <v>113</v>
      </c>
      <c r="I176" s="1"/>
      <c r="J176" s="1">
        <f>IFERROR(__xludf.DUMMYFUNCTION("""COMPUTED_VALUE"""),69.2)</f>
        <v>69.2</v>
      </c>
      <c r="K176" s="1">
        <f>IFERROR(__xludf.DUMMYFUNCTION("""COMPUTED_VALUE"""),9510)</f>
        <v>9510</v>
      </c>
      <c r="L176" s="1" t="str">
        <f>IFERROR(__xludf.DUMMYFUNCTION("""COMPUTED_VALUE"""),"Yes")</f>
        <v>Yes</v>
      </c>
      <c r="M176" s="1" t="str">
        <f>IFERROR(__xludf.DUMMYFUNCTION("""COMPUTED_VALUE"""),"Yes")</f>
        <v>Yes</v>
      </c>
      <c r="N176" s="1" t="str">
        <f>IFERROR(__xludf.DUMMYFUNCTION("""COMPUTED_VALUE"""),"China")</f>
        <v>China</v>
      </c>
      <c r="O176" s="1" t="str">
        <f>IFERROR(__xludf.DUMMYFUNCTION("""COMPUTED_VALUE"""),"Shenzhen")</f>
        <v>Shenzhen</v>
      </c>
      <c r="P176" s="1" t="str">
        <f>IFERROR(__xludf.DUMMYFUNCTION("""COMPUTED_VALUE"""),"South Africa")</f>
        <v>South Africa</v>
      </c>
      <c r="Q176" s="1" t="str">
        <f>IFERROR(__xludf.DUMMYFUNCTION("""COMPUTED_VALUE"""),"Midrand")</f>
        <v>Midrand</v>
      </c>
      <c r="R176" s="1" t="str">
        <f>IFERROR(__xludf.DUMMYFUNCTION("""COMPUTED_VALUE"""),"Sea")</f>
        <v>Sea</v>
      </c>
      <c r="S176" s="1" t="str">
        <f>IFERROR(__xludf.DUMMYFUNCTION("""COMPUTED_VALUE"""),"EXW")</f>
        <v>EXW</v>
      </c>
      <c r="T176" s="1" t="str">
        <f>IFERROR(__xludf.DUMMYFUNCTION("""COMPUTED_VALUE"""),"Shenzhen Nimbus")</f>
        <v>Shenzhen Nimbus</v>
      </c>
      <c r="U176" s="1" t="str">
        <f>IFERROR(__xludf.DUMMYFUNCTION("""COMPUTED_VALUE"""),"Yong Xiang Lu, Long Gang Qu, Shen Zhen Shi, Guang Dong Sheng, China")</f>
        <v>Yong Xiang Lu, Long Gang Qu, Shen Zhen Shi, Guang Dong Sheng, China</v>
      </c>
      <c r="V176" s="1"/>
      <c r="W176" s="1" t="str">
        <f>IFERROR(__xludf.DUMMYFUNCTION("""COMPUTED_VALUE"""),"008675589699684")</f>
        <v>008675589699684</v>
      </c>
      <c r="X176" s="1"/>
      <c r="Y176" s="1"/>
    </row>
    <row r="177" customHeight="1" spans="1:25">
      <c r="A177" s="1" t="str">
        <f>IFERROR(__xludf.DUMMYFUNCTION("""COMPUTED_VALUE"""),"c4jB6dHrEh0nZxexYvNvRF")</f>
        <v>c4jB6dHrEh0nZxexYvNvRF</v>
      </c>
      <c r="B177" s="1">
        <f>IFERROR(__xludf.DUMMYFUNCTION("""COMPUTED_VALUE"""),176)</f>
        <v>176</v>
      </c>
      <c r="C177" s="1" t="str">
        <f>IFERROR(__xludf.DUMMYFUNCTION("""COMPUTED_VALUE"""),"DL176")</f>
        <v>DL176</v>
      </c>
      <c r="D177" s="2">
        <f>IFERROR(__xludf.DUMMYFUNCTION("""COMPUTED_VALUE"""),45439)</f>
        <v>45439</v>
      </c>
      <c r="E177" s="1" t="str">
        <f>IFERROR(__xludf.DUMMYFUNCTION("""COMPUTED_VALUE"""),"TOP TECH CATERING")</f>
        <v>TOP TECH CATERING</v>
      </c>
      <c r="F177" s="1">
        <f>IFERROR(__xludf.DUMMYFUNCTION("""COMPUTED_VALUE"""),82)</f>
        <v>82</v>
      </c>
      <c r="G177" s="1" t="str">
        <f>IFERROR(__xludf.DUMMYFUNCTION("""COMPUTED_VALUE"""),"Catering Equipment")</f>
        <v>Catering Equipment</v>
      </c>
      <c r="H177" s="1">
        <f>IFERROR(__xludf.DUMMYFUNCTION("""COMPUTED_VALUE"""),169)</f>
        <v>169</v>
      </c>
      <c r="I177" s="1"/>
      <c r="J177" s="1">
        <f>IFERROR(__xludf.DUMMYFUNCTION("""COMPUTED_VALUE"""),67.44)</f>
        <v>67.44</v>
      </c>
      <c r="K177" s="1">
        <f>IFERROR(__xludf.DUMMYFUNCTION("""COMPUTED_VALUE"""),11710)</f>
        <v>11710</v>
      </c>
      <c r="L177" s="1" t="str">
        <f>IFERROR(__xludf.DUMMYFUNCTION("""COMPUTED_VALUE"""),"Yes")</f>
        <v>Yes</v>
      </c>
      <c r="M177" s="1" t="str">
        <f>IFERROR(__xludf.DUMMYFUNCTION("""COMPUTED_VALUE"""),"Yes")</f>
        <v>Yes</v>
      </c>
      <c r="N177" s="1" t="str">
        <f>IFERROR(__xludf.DUMMYFUNCTION("""COMPUTED_VALUE"""),"China")</f>
        <v>China</v>
      </c>
      <c r="O177" s="1" t="str">
        <f>IFERROR(__xludf.DUMMYFUNCTION("""COMPUTED_VALUE"""),"Shenzhen")</f>
        <v>Shenzhen</v>
      </c>
      <c r="P177" s="1" t="str">
        <f>IFERROR(__xludf.DUMMYFUNCTION("""COMPUTED_VALUE"""),"South Africa")</f>
        <v>South Africa</v>
      </c>
      <c r="Q177" s="1" t="str">
        <f>IFERROR(__xludf.DUMMYFUNCTION("""COMPUTED_VALUE"""),"Midrand")</f>
        <v>Midrand</v>
      </c>
      <c r="R177" s="1" t="str">
        <f>IFERROR(__xludf.DUMMYFUNCTION("""COMPUTED_VALUE"""),"Sea")</f>
        <v>Sea</v>
      </c>
      <c r="S177" s="1" t="str">
        <f>IFERROR(__xludf.DUMMYFUNCTION("""COMPUTED_VALUE"""),"EXW")</f>
        <v>EXW</v>
      </c>
      <c r="T177" s="1" t="str">
        <f>IFERROR(__xludf.DUMMYFUNCTION("""COMPUTED_VALUE"""),"SHENZHEN NIMBUS")</f>
        <v>SHENZHEN NIMBUS</v>
      </c>
      <c r="U177" s="1" t="str">
        <f>IFERROR(__xludf.DUMMYFUNCTION("""COMPUTED_VALUE"""),"Yong Xiang Lu, Long Gang Qu, Shen Zhen Shi, Guang Dong Sheng, China")</f>
        <v>Yong Xiang Lu, Long Gang Qu, Shen Zhen Shi, Guang Dong Sheng, China</v>
      </c>
      <c r="V177" s="1"/>
      <c r="W177" s="1" t="str">
        <f>IFERROR(__xludf.DUMMYFUNCTION("""COMPUTED_VALUE"""),"008675589699684")</f>
        <v>008675589699684</v>
      </c>
      <c r="X177" s="1"/>
      <c r="Y177" s="1"/>
    </row>
    <row r="178" customHeight="1" spans="1:25">
      <c r="A178" s="1" t="str">
        <f>IFERROR(__xludf.DUMMYFUNCTION("""COMPUTED_VALUE"""),"TXOjrd0FlgN7AlW0hKbxwB")</f>
        <v>TXOjrd0FlgN7AlW0hKbxwB</v>
      </c>
      <c r="B178" s="1">
        <f>IFERROR(__xludf.DUMMYFUNCTION("""COMPUTED_VALUE"""),177)</f>
        <v>177</v>
      </c>
      <c r="C178" s="1" t="str">
        <f>IFERROR(__xludf.DUMMYFUNCTION("""COMPUTED_VALUE"""),"DL177")</f>
        <v>DL177</v>
      </c>
      <c r="D178" s="2">
        <f>IFERROR(__xludf.DUMMYFUNCTION("""COMPUTED_VALUE"""),45440)</f>
        <v>45440</v>
      </c>
      <c r="E178" s="1" t="str">
        <f>IFERROR(__xludf.DUMMYFUNCTION("""COMPUTED_VALUE"""),"Pillot")</f>
        <v>Pillot</v>
      </c>
      <c r="F178" s="1">
        <f>IFERROR(__xludf.DUMMYFUNCTION("""COMPUTED_VALUE"""),512)</f>
        <v>512</v>
      </c>
      <c r="G178" s="1" t="str">
        <f>IFERROR(__xludf.DUMMYFUNCTION("""COMPUTED_VALUE"""),"Juice Maker")</f>
        <v>Juice Maker</v>
      </c>
      <c r="H178" s="1">
        <f>IFERROR(__xludf.DUMMYFUNCTION("""COMPUTED_VALUE"""),1)</f>
        <v>1</v>
      </c>
      <c r="I178" s="1"/>
      <c r="J178" s="1"/>
      <c r="K178" s="1">
        <f>IFERROR(__xludf.DUMMYFUNCTION("""COMPUTED_VALUE"""),2)</f>
        <v>2</v>
      </c>
      <c r="L178" s="1" t="str">
        <f>IFERROR(__xludf.DUMMYFUNCTION("""COMPUTED_VALUE"""),"Yes")</f>
        <v>Yes</v>
      </c>
      <c r="M178" s="1" t="str">
        <f>IFERROR(__xludf.DUMMYFUNCTION("""COMPUTED_VALUE"""),"Yes")</f>
        <v>Yes</v>
      </c>
      <c r="N178" s="1" t="str">
        <f>IFERROR(__xludf.DUMMYFUNCTION("""COMPUTED_VALUE"""),"China")</f>
        <v>China</v>
      </c>
      <c r="O178" s="1" t="str">
        <f>IFERROR(__xludf.DUMMYFUNCTION("""COMPUTED_VALUE"""),"Shenzhen")</f>
        <v>Shenzhen</v>
      </c>
      <c r="P178" s="1" t="str">
        <f>IFERROR(__xludf.DUMMYFUNCTION("""COMPUTED_VALUE"""),"South Africa")</f>
        <v>South Africa</v>
      </c>
      <c r="Q178" s="1" t="str">
        <f>IFERROR(__xludf.DUMMYFUNCTION("""COMPUTED_VALUE"""),"Johannesburg")</f>
        <v>Johannesburg</v>
      </c>
      <c r="R178" s="1" t="str">
        <f>IFERROR(__xludf.DUMMYFUNCTION("""COMPUTED_VALUE"""),"Sea")</f>
        <v>Sea</v>
      </c>
      <c r="S178" s="1" t="str">
        <f>IFERROR(__xludf.DUMMYFUNCTION("""COMPUTED_VALUE"""),"FCA")</f>
        <v>FCA</v>
      </c>
      <c r="T178" s="1"/>
      <c r="U178" s="1"/>
      <c r="V178" s="1"/>
      <c r="W178" s="1"/>
      <c r="X178" s="1"/>
      <c r="Y178" s="1"/>
    </row>
    <row r="179" customHeight="1" spans="1:25">
      <c r="A179" s="1" t="str">
        <f>IFERROR(__xludf.DUMMYFUNCTION("""COMPUTED_VALUE"""),"IL9pTwGONEEJpFGQ8lCEIH")</f>
        <v>IL9pTwGONEEJpFGQ8lCEIH</v>
      </c>
      <c r="B179" s="1">
        <f>IFERROR(__xludf.DUMMYFUNCTION("""COMPUTED_VALUE"""),705)</f>
        <v>705</v>
      </c>
      <c r="C179" s="1" t="str">
        <f>IFERROR(__xludf.DUMMYFUNCTION("""COMPUTED_VALUE"""),"DL178")</f>
        <v>DL178</v>
      </c>
      <c r="D179" s="2">
        <f>IFERROR(__xludf.DUMMYFUNCTION("""COMPUTED_VALUE"""),45440)</f>
        <v>45440</v>
      </c>
      <c r="E179" s="1" t="str">
        <f>IFERROR(__xludf.DUMMYFUNCTION("""COMPUTED_VALUE"""),"Pillot")</f>
        <v>Pillot</v>
      </c>
      <c r="F179" s="1">
        <f>IFERROR(__xludf.DUMMYFUNCTION("""COMPUTED_VALUE"""),512)</f>
        <v>512</v>
      </c>
      <c r="G179" s="1" t="str">
        <f>IFERROR(__xludf.DUMMYFUNCTION("""COMPUTED_VALUE"""),"Phone screen")</f>
        <v>Phone screen</v>
      </c>
      <c r="H179" s="1">
        <f>IFERROR(__xludf.DUMMYFUNCTION("""COMPUTED_VALUE"""),1)</f>
        <v>1</v>
      </c>
      <c r="I179" s="1"/>
      <c r="J179" s="1"/>
      <c r="K179" s="1">
        <f>IFERROR(__xludf.DUMMYFUNCTION("""COMPUTED_VALUE"""),1)</f>
        <v>1</v>
      </c>
      <c r="L179" s="1" t="str">
        <f>IFERROR(__xludf.DUMMYFUNCTION("""COMPUTED_VALUE"""),"Yes")</f>
        <v>Yes</v>
      </c>
      <c r="M179" s="1" t="str">
        <f>IFERROR(__xludf.DUMMYFUNCTION("""COMPUTED_VALUE"""),"Yes")</f>
        <v>Yes</v>
      </c>
      <c r="N179" s="1" t="str">
        <f>IFERROR(__xludf.DUMMYFUNCTION("""COMPUTED_VALUE"""),"China")</f>
        <v>China</v>
      </c>
      <c r="O179" s="1" t="str">
        <f>IFERROR(__xludf.DUMMYFUNCTION("""COMPUTED_VALUE"""),"Shenzhen")</f>
        <v>Shenzhen</v>
      </c>
      <c r="P179" s="1" t="str">
        <f>IFERROR(__xludf.DUMMYFUNCTION("""COMPUTED_VALUE"""),"South Africa")</f>
        <v>South Africa</v>
      </c>
      <c r="Q179" s="1" t="str">
        <f>IFERROR(__xludf.DUMMYFUNCTION("""COMPUTED_VALUE"""),"Johannesburg")</f>
        <v>Johannesburg</v>
      </c>
      <c r="R179" s="1" t="str">
        <f>IFERROR(__xludf.DUMMYFUNCTION("""COMPUTED_VALUE"""),"Sea")</f>
        <v>Sea</v>
      </c>
      <c r="S179" s="1" t="str">
        <f>IFERROR(__xludf.DUMMYFUNCTION("""COMPUTED_VALUE"""),"FCA")</f>
        <v>FCA</v>
      </c>
      <c r="T179" s="1"/>
      <c r="U179" s="1"/>
      <c r="V179" s="1"/>
      <c r="W179" s="1"/>
      <c r="X179" s="1"/>
      <c r="Y179" s="1"/>
    </row>
    <row r="180" customHeight="1" spans="1:25">
      <c r="A180" s="1" t="str">
        <f>IFERROR(__xludf.DUMMYFUNCTION("""COMPUTED_VALUE"""),"Ze7ZoH1HikiZM3bulREYoS")</f>
        <v>Ze7ZoH1HikiZM3bulREYoS</v>
      </c>
      <c r="B180" s="1">
        <f>IFERROR(__xludf.DUMMYFUNCTION("""COMPUTED_VALUE"""),686)</f>
        <v>686</v>
      </c>
      <c r="C180" s="1" t="str">
        <f>IFERROR(__xludf.DUMMYFUNCTION("""COMPUTED_VALUE"""),"DL179")</f>
        <v>DL179</v>
      </c>
      <c r="D180" s="2">
        <f>IFERROR(__xludf.DUMMYFUNCTION("""COMPUTED_VALUE"""),45433)</f>
        <v>45433</v>
      </c>
      <c r="E180" s="1" t="str">
        <f>IFERROR(__xludf.DUMMYFUNCTION("""COMPUTED_VALUE"""),"Imran Khalid")</f>
        <v>Imran Khalid</v>
      </c>
      <c r="F180" s="1">
        <f>IFERROR(__xludf.DUMMYFUNCTION("""COMPUTED_VALUE"""),501)</f>
        <v>501</v>
      </c>
      <c r="G180" s="1" t="str">
        <f>IFERROR(__xludf.DUMMYFUNCTION("""COMPUTED_VALUE"""),"Machine")</f>
        <v>Machine</v>
      </c>
      <c r="H180" s="1">
        <f>IFERROR(__xludf.DUMMYFUNCTION("""COMPUTED_VALUE"""),2)</f>
        <v>2</v>
      </c>
      <c r="I180" s="1"/>
      <c r="J180" s="1">
        <f>IFERROR(__xludf.DUMMYFUNCTION("""COMPUTED_VALUE"""),4.86)</f>
        <v>4.86</v>
      </c>
      <c r="K180" s="1">
        <f>IFERROR(__xludf.DUMMYFUNCTION("""COMPUTED_VALUE"""),1156)</f>
        <v>1156</v>
      </c>
      <c r="L180" s="1" t="str">
        <f>IFERROR(__xludf.DUMMYFUNCTION("""COMPUTED_VALUE"""),"Yes")</f>
        <v>Yes</v>
      </c>
      <c r="M180" s="1" t="str">
        <f>IFERROR(__xludf.DUMMYFUNCTION("""COMPUTED_VALUE"""),"Yes")</f>
        <v>Yes</v>
      </c>
      <c r="N180" s="1" t="str">
        <f>IFERROR(__xludf.DUMMYFUNCTION("""COMPUTED_VALUE"""),"China")</f>
        <v>China</v>
      </c>
      <c r="O180" s="1" t="str">
        <f>IFERROR(__xludf.DUMMYFUNCTION("""COMPUTED_VALUE"""),"Shenzhen")</f>
        <v>Shenzhen</v>
      </c>
      <c r="P180" s="1" t="str">
        <f>IFERROR(__xludf.DUMMYFUNCTION("""COMPUTED_VALUE"""),"South Africa")</f>
        <v>South Africa</v>
      </c>
      <c r="Q180" s="1" t="str">
        <f>IFERROR(__xludf.DUMMYFUNCTION("""COMPUTED_VALUE"""),"Cape Town")</f>
        <v>Cape Town</v>
      </c>
      <c r="R180" s="1" t="str">
        <f>IFERROR(__xludf.DUMMYFUNCTION("""COMPUTED_VALUE"""),"Sea")</f>
        <v>Sea</v>
      </c>
      <c r="S180" s="1" t="str">
        <f>IFERROR(__xludf.DUMMYFUNCTION("""COMPUTED_VALUE"""),"FCA")</f>
        <v>FCA</v>
      </c>
      <c r="T180" s="1" t="str">
        <f>IFERROR(__xludf.DUMMYFUNCTION("""COMPUTED_VALUE"""),"SHENZHEN NIMBUS SHIPPING CO.,LTD")</f>
        <v>SHENZHEN NIMBUS SHIPPING CO.,LTD</v>
      </c>
      <c r="U180" s="1" t="str">
        <f>IFERROR(__xludf.DUMMYFUNCTION("""COMPUTED_VALUE"""),"Yong Xiang Lu, Long Gang Qu, Shen Zhen Shi, Guang Dong Sheng, China")</f>
        <v>Yong Xiang Lu, Long Gang Qu, Shen Zhen Shi, Guang Dong Sheng, China</v>
      </c>
      <c r="V180" s="1"/>
      <c r="W180" s="1"/>
      <c r="X180" s="1"/>
      <c r="Y180" s="1"/>
    </row>
    <row r="181" customHeight="1" spans="1:25">
      <c r="A181" s="1" t="str">
        <f>IFERROR(__xludf.DUMMYFUNCTION("""COMPUTED_VALUE"""),"deOitI43alDhEEYPt9HVsc")</f>
        <v>deOitI43alDhEEYPt9HVsc</v>
      </c>
      <c r="B181" s="1">
        <f>IFERROR(__xludf.DUMMYFUNCTION("""COMPUTED_VALUE"""),180)</f>
        <v>180</v>
      </c>
      <c r="C181" s="1" t="str">
        <f>IFERROR(__xludf.DUMMYFUNCTION("""COMPUTED_VALUE"""),"DL180")</f>
        <v>DL180</v>
      </c>
      <c r="D181" s="2">
        <f>IFERROR(__xludf.DUMMYFUNCTION("""COMPUTED_VALUE"""),45448)</f>
        <v>45448</v>
      </c>
      <c r="E181" s="1" t="str">
        <f>IFERROR(__xludf.DUMMYFUNCTION("""COMPUTED_VALUE"""),"Université Nouveaux Horizons (UNH)")</f>
        <v>Université Nouveaux Horizons (UNH)</v>
      </c>
      <c r="F181" s="1">
        <f>IFERROR(__xludf.DUMMYFUNCTION("""COMPUTED_VALUE"""),522)</f>
        <v>522</v>
      </c>
      <c r="G181" s="1" t="str">
        <f>IFERROR(__xludf.DUMMYFUNCTION("""COMPUTED_VALUE"""),"Electrocardiograph, Fetal Monitor, Trolly for ECG1200G, and Trolly for CMS800G")</f>
        <v>Electrocardiograph, Fetal Monitor, Trolly for ECG1200G, and Trolly for CMS800G</v>
      </c>
      <c r="H181" s="1">
        <f>IFERROR(__xludf.DUMMYFUNCTION("""COMPUTED_VALUE"""),6)</f>
        <v>6</v>
      </c>
      <c r="I181" s="1"/>
      <c r="J181" s="1">
        <f>IFERROR(__xludf.DUMMYFUNCTION("""COMPUTED_VALUE"""),0.41)</f>
        <v>0.41</v>
      </c>
      <c r="K181" s="1">
        <f>IFERROR(__xludf.DUMMYFUNCTION("""COMPUTED_VALUE"""),39.2)</f>
        <v>39.2</v>
      </c>
      <c r="L181" s="1"/>
      <c r="M181" s="1"/>
      <c r="N181" s="1"/>
      <c r="O181" s="1"/>
      <c r="P181" s="1"/>
      <c r="Q181" s="1"/>
      <c r="R181" s="1" t="str">
        <f>IFERROR(__xludf.DUMMYFUNCTION("""COMPUTED_VALUE"""),"Air")</f>
        <v>Air</v>
      </c>
      <c r="S181" s="1" t="str">
        <f>IFERROR(__xludf.DUMMYFUNCTION("""COMPUTED_VALUE"""),"FCA")</f>
        <v>FCA</v>
      </c>
      <c r="T181" s="1"/>
      <c r="U181" s="1"/>
      <c r="V181" s="1"/>
      <c r="W181" s="1"/>
      <c r="X181" s="1"/>
      <c r="Y181" s="1"/>
    </row>
    <row r="182" customHeight="1" spans="1:25">
      <c r="A182" s="1" t="str">
        <f>IFERROR(__xludf.DUMMYFUNCTION("""COMPUTED_VALUE"""),"l6cGmX4YfYz0YsyN7zQEpV")</f>
        <v>l6cGmX4YfYz0YsyN7zQEpV</v>
      </c>
      <c r="B182" s="1">
        <f>IFERROR(__xludf.DUMMYFUNCTION("""COMPUTED_VALUE"""),181)</f>
        <v>181</v>
      </c>
      <c r="C182" s="1" t="str">
        <f>IFERROR(__xludf.DUMMYFUNCTION("""COMPUTED_VALUE"""),"DL181")</f>
        <v>DL181</v>
      </c>
      <c r="D182" s="2">
        <f>IFERROR(__xludf.DUMMYFUNCTION("""COMPUTED_VALUE"""),45449)</f>
        <v>45449</v>
      </c>
      <c r="E182" s="1" t="str">
        <f>IFERROR(__xludf.DUMMYFUNCTION("""COMPUTED_VALUE"""),"African Technopreneurs")</f>
        <v>African Technopreneurs</v>
      </c>
      <c r="F182" s="1">
        <f>IFERROR(__xludf.DUMMYFUNCTION("""COMPUTED_VALUE"""),157)</f>
        <v>157</v>
      </c>
      <c r="G182" s="1" t="str">
        <f>IFERROR(__xludf.DUMMYFUNCTION("""COMPUTED_VALUE"""),"Meta Quest 3 Charging Docks")</f>
        <v>Meta Quest 3 Charging Docks</v>
      </c>
      <c r="H182" s="1">
        <f>IFERROR(__xludf.DUMMYFUNCTION("""COMPUTED_VALUE"""),1)</f>
        <v>1</v>
      </c>
      <c r="I182" s="1"/>
      <c r="J182" s="1">
        <f>IFERROR(__xludf.DUMMYFUNCTION("""COMPUTED_VALUE"""),0.04)</f>
        <v>0.04</v>
      </c>
      <c r="K182" s="1">
        <f>IFERROR(__xludf.DUMMYFUNCTION("""COMPUTED_VALUE"""),8)</f>
        <v>8</v>
      </c>
      <c r="L182" s="1"/>
      <c r="M182" s="1"/>
      <c r="N182" s="1"/>
      <c r="O182" s="1"/>
      <c r="P182" s="1"/>
      <c r="Q182" s="1"/>
      <c r="R182" s="1" t="str">
        <f>IFERROR(__xludf.DUMMYFUNCTION("""COMPUTED_VALUE"""),"Air")</f>
        <v>Air</v>
      </c>
      <c r="S182" s="1" t="str">
        <f>IFERROR(__xludf.DUMMYFUNCTION("""COMPUTED_VALUE"""),"EXW")</f>
        <v>EXW</v>
      </c>
      <c r="T182" s="1"/>
      <c r="U182" s="1"/>
      <c r="V182" s="1"/>
      <c r="W182" s="1"/>
      <c r="X182" s="1"/>
      <c r="Y182" s="1"/>
    </row>
    <row r="183" customHeight="1" spans="1:25">
      <c r="A183" s="1" t="str">
        <f>IFERROR(__xludf.DUMMYFUNCTION("""COMPUTED_VALUE"""),"2aThwjkcf214DAAwNg25c3")</f>
        <v>2aThwjkcf214DAAwNg25c3</v>
      </c>
      <c r="B183" s="1">
        <f>IFERROR(__xludf.DUMMYFUNCTION("""COMPUTED_VALUE"""),712)</f>
        <v>712</v>
      </c>
      <c r="C183" s="1" t="str">
        <f>IFERROR(__xludf.DUMMYFUNCTION("""COMPUTED_VALUE"""),"DL182")</f>
        <v>DL182</v>
      </c>
      <c r="D183" s="2">
        <f>IFERROR(__xludf.DUMMYFUNCTION("""COMPUTED_VALUE"""),45446)</f>
        <v>45446</v>
      </c>
      <c r="E183" s="1" t="str">
        <f>IFERROR(__xludf.DUMMYFUNCTION("""COMPUTED_VALUE"""),"GW Industries Group")</f>
        <v>GW Industries Group</v>
      </c>
      <c r="F183" s="1">
        <f>IFERROR(__xludf.DUMMYFUNCTION("""COMPUTED_VALUE"""),516)</f>
        <v>516</v>
      </c>
      <c r="G183" s="1" t="str">
        <f>IFERROR(__xludf.DUMMYFUNCTION("""COMPUTED_VALUE"""),"DC brushless motors")</f>
        <v>DC brushless motors</v>
      </c>
      <c r="H183" s="1">
        <f>IFERROR(__xludf.DUMMYFUNCTION("""COMPUTED_VALUE"""),2)</f>
        <v>2</v>
      </c>
      <c r="I183" s="1"/>
      <c r="J183" s="1">
        <f>IFERROR(__xludf.DUMMYFUNCTION("""COMPUTED_VALUE"""),0.08)</f>
        <v>0.08</v>
      </c>
      <c r="K183" s="1">
        <f>IFERROR(__xludf.DUMMYFUNCTION("""COMPUTED_VALUE"""),32)</f>
        <v>32</v>
      </c>
      <c r="L183" s="1" t="str">
        <f>IFERROR(__xludf.DUMMYFUNCTION("""COMPUTED_VALUE"""),"Yes")</f>
        <v>Yes</v>
      </c>
      <c r="M183" s="1" t="str">
        <f>IFERROR(__xludf.DUMMYFUNCTION("""COMPUTED_VALUE"""),"Yes")</f>
        <v>Yes</v>
      </c>
      <c r="N183" s="1"/>
      <c r="O183" s="1"/>
      <c r="P183" s="1"/>
      <c r="Q183" s="1"/>
      <c r="R183" s="1"/>
      <c r="S183" s="1" t="str">
        <f>IFERROR(__xludf.DUMMYFUNCTION("""COMPUTED_VALUE"""),"EXW")</f>
        <v>EXW</v>
      </c>
      <c r="T183" s="1"/>
      <c r="U183" s="1"/>
      <c r="V183" s="1"/>
      <c r="W183" s="1"/>
      <c r="X183" s="1"/>
      <c r="Y183" s="1"/>
    </row>
    <row r="184" customHeight="1" spans="1:25">
      <c r="A184" s="1" t="str">
        <f>IFERROR(__xludf.DUMMYFUNCTION("""COMPUTED_VALUE"""),"hYJKa4bpi2INLiwTGkmy5v")</f>
        <v>hYJKa4bpi2INLiwTGkmy5v</v>
      </c>
      <c r="B184" s="1">
        <f>IFERROR(__xludf.DUMMYFUNCTION("""COMPUTED_VALUE"""),728)</f>
        <v>728</v>
      </c>
      <c r="C184" s="1" t="str">
        <f>IFERROR(__xludf.DUMMYFUNCTION("""COMPUTED_VALUE"""),"DL183")</f>
        <v>DL183</v>
      </c>
      <c r="D184" s="2">
        <f>IFERROR(__xludf.DUMMYFUNCTION("""COMPUTED_VALUE"""),45450)</f>
        <v>45450</v>
      </c>
      <c r="E184" s="1" t="str">
        <f>IFERROR(__xludf.DUMMYFUNCTION("""COMPUTED_VALUE"""),"Morris")</f>
        <v>Morris</v>
      </c>
      <c r="F184" s="1">
        <f>IFERROR(__xludf.DUMMYFUNCTION("""COMPUTED_VALUE"""),525)</f>
        <v>525</v>
      </c>
      <c r="G184" s="1" t="str">
        <f>IFERROR(__xludf.DUMMYFUNCTION("""COMPUTED_VALUE"""),"Gas Stove")</f>
        <v>Gas Stove</v>
      </c>
      <c r="H184" s="1">
        <f>IFERROR(__xludf.DUMMYFUNCTION("""COMPUTED_VALUE"""),1)</f>
        <v>1</v>
      </c>
      <c r="I184" s="1"/>
      <c r="J184" s="1">
        <f>IFERROR(__xludf.DUMMYFUNCTION("""COMPUTED_VALUE"""),0.64)</f>
        <v>0.64</v>
      </c>
      <c r="K184" s="1">
        <f>IFERROR(__xludf.DUMMYFUNCTION("""COMPUTED_VALUE"""),69)</f>
        <v>69</v>
      </c>
      <c r="L184" s="1" t="str">
        <f>IFERROR(__xludf.DUMMYFUNCTION("""COMPUTED_VALUE"""),"Yes")</f>
        <v>Yes</v>
      </c>
      <c r="M184" s="1" t="str">
        <f>IFERROR(__xludf.DUMMYFUNCTION("""COMPUTED_VALUE"""),"Yes")</f>
        <v>Yes</v>
      </c>
      <c r="N184" s="1"/>
      <c r="O184" s="1"/>
      <c r="P184" s="1"/>
      <c r="Q184" s="1"/>
      <c r="R184" s="1" t="str">
        <f>IFERROR(__xludf.DUMMYFUNCTION("""COMPUTED_VALUE"""),"Sea")</f>
        <v>Sea</v>
      </c>
      <c r="S184" s="1" t="str">
        <f>IFERROR(__xludf.DUMMYFUNCTION("""COMPUTED_VALUE"""),"FCA")</f>
        <v>FCA</v>
      </c>
      <c r="T184" s="1"/>
      <c r="U184" s="1"/>
      <c r="V184" s="1"/>
      <c r="W184" s="1"/>
      <c r="X184" s="1"/>
      <c r="Y184" s="1"/>
    </row>
    <row r="185" customHeight="1" spans="1:25">
      <c r="A185" s="1" t="str">
        <f>IFERROR(__xludf.DUMMYFUNCTION("""COMPUTED_VALUE"""),"sn63vaT9UiDzFtqcyoyDYo")</f>
        <v>sn63vaT9UiDzFtqcyoyDYo</v>
      </c>
      <c r="B185" s="1">
        <f>IFERROR(__xludf.DUMMYFUNCTION("""COMPUTED_VALUE"""),184)</f>
        <v>184</v>
      </c>
      <c r="C185" s="1" t="str">
        <f>IFERROR(__xludf.DUMMYFUNCTION("""COMPUTED_VALUE"""),"DL184")</f>
        <v>DL184</v>
      </c>
      <c r="D185" s="2">
        <f>IFERROR(__xludf.DUMMYFUNCTION("""COMPUTED_VALUE"""),45446)</f>
        <v>45446</v>
      </c>
      <c r="E185" s="1" t="str">
        <f>IFERROR(__xludf.DUMMYFUNCTION("""COMPUTED_VALUE"""),"Irvin Mguni")</f>
        <v>Irvin Mguni</v>
      </c>
      <c r="F185" s="1">
        <f>IFERROR(__xludf.DUMMYFUNCTION("""COMPUTED_VALUE"""),517)</f>
        <v>517</v>
      </c>
      <c r="G185" s="1" t="str">
        <f>IFERROR(__xludf.DUMMYFUNCTION("""COMPUTED_VALUE"""),"Blankets")</f>
        <v>Blankets</v>
      </c>
      <c r="H185" s="1">
        <f>IFERROR(__xludf.DUMMYFUNCTION("""COMPUTED_VALUE"""),1)</f>
        <v>1</v>
      </c>
      <c r="I185" s="1"/>
      <c r="J185" s="1"/>
      <c r="K185" s="1">
        <f>IFERROR(__xludf.DUMMYFUNCTION("""COMPUTED_VALUE"""),8.5)</f>
        <v>8.5</v>
      </c>
      <c r="L185" s="1" t="str">
        <f>IFERROR(__xludf.DUMMYFUNCTION("""COMPUTED_VALUE"""),"Yes")</f>
        <v>Yes</v>
      </c>
      <c r="M185" s="1" t="str">
        <f>IFERROR(__xludf.DUMMYFUNCTION("""COMPUTED_VALUE"""),"Yes")</f>
        <v>Yes</v>
      </c>
      <c r="N185" s="1"/>
      <c r="O185" s="1"/>
      <c r="P185" s="1"/>
      <c r="Q185" s="1"/>
      <c r="R185" s="1" t="str">
        <f>IFERROR(__xludf.DUMMYFUNCTION("""COMPUTED_VALUE"""),"Air")</f>
        <v>Air</v>
      </c>
      <c r="S185" s="1" t="str">
        <f>IFERROR(__xludf.DUMMYFUNCTION("""COMPUTED_VALUE"""),"FOB")</f>
        <v>FOB</v>
      </c>
      <c r="T185" s="1"/>
      <c r="U185" s="1"/>
      <c r="V185" s="1"/>
      <c r="W185" s="1"/>
      <c r="X185" s="1"/>
      <c r="Y185" s="1"/>
    </row>
    <row r="186" customHeight="1" spans="1:25">
      <c r="A186" s="1" t="str">
        <f>IFERROR(__xludf.DUMMYFUNCTION("""COMPUTED_VALUE"""),"lhq6wlNkdCGRYs75MpRw2o")</f>
        <v>lhq6wlNkdCGRYs75MpRw2o</v>
      </c>
      <c r="B186" s="1">
        <f>IFERROR(__xludf.DUMMYFUNCTION("""COMPUTED_VALUE"""),185)</f>
        <v>185</v>
      </c>
      <c r="C186" s="1" t="str">
        <f>IFERROR(__xludf.DUMMYFUNCTION("""COMPUTED_VALUE"""),"DL185")</f>
        <v>DL185</v>
      </c>
      <c r="D186" s="2">
        <f>IFERROR(__xludf.DUMMYFUNCTION("""COMPUTED_VALUE"""),45456)</f>
        <v>45456</v>
      </c>
      <c r="E186" s="1" t="str">
        <f>IFERROR(__xludf.DUMMYFUNCTION("""COMPUTED_VALUE"""),"Ben Gazide")</f>
        <v>Ben Gazide</v>
      </c>
      <c r="F186" s="1">
        <f>IFERROR(__xludf.DUMMYFUNCTION("""COMPUTED_VALUE"""),492)</f>
        <v>492</v>
      </c>
      <c r="G186" s="1" t="str">
        <f>IFERROR(__xludf.DUMMYFUNCTION("""COMPUTED_VALUE"""),"Shoes")</f>
        <v>Shoes</v>
      </c>
      <c r="H186" s="1">
        <f>IFERROR(__xludf.DUMMYFUNCTION("""COMPUTED_VALUE"""),2)</f>
        <v>2</v>
      </c>
      <c r="I186" s="1"/>
      <c r="J186" s="1">
        <f>IFERROR(__xludf.DUMMYFUNCTION("""COMPUTED_VALUE"""),0.1)</f>
        <v>0.1</v>
      </c>
      <c r="K186" s="1">
        <f>IFERROR(__xludf.DUMMYFUNCTION("""COMPUTED_VALUE"""),26)</f>
        <v>26</v>
      </c>
      <c r="L186" s="1" t="str">
        <f>IFERROR(__xludf.DUMMYFUNCTION("""COMPUTED_VALUE"""),"Yes")</f>
        <v>Yes</v>
      </c>
      <c r="M186" s="1" t="str">
        <f>IFERROR(__xludf.DUMMYFUNCTION("""COMPUTED_VALUE"""),"Yes")</f>
        <v>Yes</v>
      </c>
      <c r="N186" s="1" t="str">
        <f>IFERROR(__xludf.DUMMYFUNCTION("""COMPUTED_VALUE"""),"China")</f>
        <v>China</v>
      </c>
      <c r="O186" s="1" t="str">
        <f>IFERROR(__xludf.DUMMYFUNCTION("""COMPUTED_VALUE"""),"Shenzhen")</f>
        <v>Shenzhen</v>
      </c>
      <c r="P186" s="1" t="str">
        <f>IFERROR(__xludf.DUMMYFUNCTION("""COMPUTED_VALUE"""),"South Africa")</f>
        <v>South Africa</v>
      </c>
      <c r="Q186" s="1" t="str">
        <f>IFERROR(__xludf.DUMMYFUNCTION("""COMPUTED_VALUE"""),"Mpumalanga")</f>
        <v>Mpumalanga</v>
      </c>
      <c r="R186" s="1" t="str">
        <f>IFERROR(__xludf.DUMMYFUNCTION("""COMPUTED_VALUE"""),"Sea")</f>
        <v>Sea</v>
      </c>
      <c r="S186" s="1" t="str">
        <f>IFERROR(__xludf.DUMMYFUNCTION("""COMPUTED_VALUE"""),"FCA")</f>
        <v>FCA</v>
      </c>
      <c r="T186" s="1" t="str">
        <f>IFERROR(__xludf.DUMMYFUNCTION("""COMPUTED_VALUE"""),"Shenzhen Nimbus Shipping Co Ltd")</f>
        <v>Shenzhen Nimbus Shipping Co Ltd</v>
      </c>
      <c r="U186" s="1" t="str">
        <f>IFERROR(__xludf.DUMMYFUNCTION("""COMPUTED_VALUE"""),"Yong Xiang Lu, Long Gang Qu, Shen Zhen Shi, Guang Dong Sheng, China")</f>
        <v>Yong Xiang Lu, Long Gang Qu, Shen Zhen Shi, Guang Dong Sheng, China</v>
      </c>
      <c r="V186" s="1"/>
      <c r="W186" s="1"/>
      <c r="X186" s="1"/>
      <c r="Y186" s="1"/>
    </row>
    <row r="187" customHeight="1" spans="1:25">
      <c r="A187" s="1" t="str">
        <f>IFERROR(__xludf.DUMMYFUNCTION("""COMPUTED_VALUE"""),"305eRdoDbIZu18NCvQNlaF")</f>
        <v>305eRdoDbIZu18NCvQNlaF</v>
      </c>
      <c r="B187" s="1">
        <f>IFERROR(__xludf.DUMMYFUNCTION("""COMPUTED_VALUE"""),186)</f>
        <v>186</v>
      </c>
      <c r="C187" s="1" t="str">
        <f>IFERROR(__xludf.DUMMYFUNCTION("""COMPUTED_VALUE"""),"DL186")</f>
        <v>DL186</v>
      </c>
      <c r="D187" s="2">
        <f>IFERROR(__xludf.DUMMYFUNCTION("""COMPUTED_VALUE"""),45449)</f>
        <v>45449</v>
      </c>
      <c r="E187" s="1" t="str">
        <f>IFERROR(__xludf.DUMMYFUNCTION("""COMPUTED_VALUE"""),"Shand Sermela")</f>
        <v>Shand Sermela</v>
      </c>
      <c r="F187" s="1">
        <f>IFERROR(__xludf.DUMMYFUNCTION("""COMPUTED_VALUE"""),375)</f>
        <v>375</v>
      </c>
      <c r="G187" s="1" t="str">
        <f>IFERROR(__xludf.DUMMYFUNCTION("""COMPUTED_VALUE"""),"circuit breaker")</f>
        <v>circuit breaker</v>
      </c>
      <c r="H187" s="1">
        <f>IFERROR(__xludf.DUMMYFUNCTION("""COMPUTED_VALUE"""),1)</f>
        <v>1</v>
      </c>
      <c r="I187" s="1"/>
      <c r="J187" s="1">
        <f>IFERROR(__xludf.DUMMYFUNCTION("""COMPUTED_VALUE"""),0.01)</f>
        <v>0.01</v>
      </c>
      <c r="K187" s="1">
        <f>IFERROR(__xludf.DUMMYFUNCTION("""COMPUTED_VALUE"""),1)</f>
        <v>1</v>
      </c>
      <c r="L187" s="1"/>
      <c r="M187" s="1"/>
      <c r="N187" s="1"/>
      <c r="O187" s="1"/>
      <c r="P187" s="1"/>
      <c r="Q187" s="1"/>
      <c r="R187" s="1" t="str">
        <f>IFERROR(__xludf.DUMMYFUNCTION("""COMPUTED_VALUE"""),"Air")</f>
        <v>Air</v>
      </c>
      <c r="S187" s="1" t="str">
        <f>IFERROR(__xludf.DUMMYFUNCTION("""COMPUTED_VALUE"""),"FCA")</f>
        <v>FCA</v>
      </c>
      <c r="T187" s="1"/>
      <c r="U187" s="1"/>
      <c r="V187" s="1"/>
      <c r="W187" s="1"/>
      <c r="X187" s="1"/>
      <c r="Y187" s="1"/>
    </row>
    <row r="188" customHeight="1" spans="1:25">
      <c r="A188" s="1" t="str">
        <f>IFERROR(__xludf.DUMMYFUNCTION("""COMPUTED_VALUE"""),"EPBapMWB5ugGcnOe5I3Goh")</f>
        <v>EPBapMWB5ugGcnOe5I3Goh</v>
      </c>
      <c r="B188" s="1">
        <f>IFERROR(__xludf.DUMMYFUNCTION("""COMPUTED_VALUE"""),187)</f>
        <v>187</v>
      </c>
      <c r="C188" s="1" t="str">
        <f>IFERROR(__xludf.DUMMYFUNCTION("""COMPUTED_VALUE"""),"DL187")</f>
        <v>DL187</v>
      </c>
      <c r="D188" s="2">
        <f>IFERROR(__xludf.DUMMYFUNCTION("""COMPUTED_VALUE"""),45446)</f>
        <v>45446</v>
      </c>
      <c r="E188" s="1" t="str">
        <f>IFERROR(__xludf.DUMMYFUNCTION("""COMPUTED_VALUE"""),"Irvin")</f>
        <v>Irvin</v>
      </c>
      <c r="F188" s="1">
        <f>IFERROR(__xludf.DUMMYFUNCTION("""COMPUTED_VALUE"""),517)</f>
        <v>517</v>
      </c>
      <c r="G188" s="1" t="str">
        <f>IFERROR(__xludf.DUMMYFUNCTION("""COMPUTED_VALUE"""),"Blankets")</f>
        <v>Blankets</v>
      </c>
      <c r="H188" s="1">
        <f>IFERROR(__xludf.DUMMYFUNCTION("""COMPUTED_VALUE"""),1)</f>
        <v>1</v>
      </c>
      <c r="I188" s="1"/>
      <c r="J188" s="1">
        <f>IFERROR(__xludf.DUMMYFUNCTION("""COMPUTED_VALUE"""),0.05)</f>
        <v>0.05</v>
      </c>
      <c r="K188" s="1">
        <f>IFERROR(__xludf.DUMMYFUNCTION("""COMPUTED_VALUE"""),8.5)</f>
        <v>8.5</v>
      </c>
      <c r="L188" s="1" t="str">
        <f>IFERROR(__xludf.DUMMYFUNCTION("""COMPUTED_VALUE"""),"Yes")</f>
        <v>Yes</v>
      </c>
      <c r="M188" s="1" t="str">
        <f>IFERROR(__xludf.DUMMYFUNCTION("""COMPUTED_VALUE"""),"Yes")</f>
        <v>Yes</v>
      </c>
      <c r="N188" s="1" t="str">
        <f>IFERROR(__xludf.DUMMYFUNCTION("""COMPUTED_VALUE"""),"China")</f>
        <v>China</v>
      </c>
      <c r="O188" s="1" t="str">
        <f>IFERROR(__xludf.DUMMYFUNCTION("""COMPUTED_VALUE"""),"Shenzhen")</f>
        <v>Shenzhen</v>
      </c>
      <c r="P188" s="1" t="str">
        <f>IFERROR(__xludf.DUMMYFUNCTION("""COMPUTED_VALUE"""),"South Africa")</f>
        <v>South Africa</v>
      </c>
      <c r="Q188" s="1" t="str">
        <f>IFERROR(__xludf.DUMMYFUNCTION("""COMPUTED_VALUE"""),"Cape Town")</f>
        <v>Cape Town</v>
      </c>
      <c r="R188" s="1" t="str">
        <f>IFERROR(__xludf.DUMMYFUNCTION("""COMPUTED_VALUE"""),"Air")</f>
        <v>Air</v>
      </c>
      <c r="S188" s="1" t="str">
        <f>IFERROR(__xludf.DUMMYFUNCTION("""COMPUTED_VALUE"""),"FCA")</f>
        <v>FCA</v>
      </c>
      <c r="T188" s="1" t="str">
        <f>IFERROR(__xludf.DUMMYFUNCTION("""COMPUTED_VALUE"""),"OBD LOGISTICS CO LTD")</f>
        <v>OBD LOGISTICS CO LTD</v>
      </c>
      <c r="U188" s="1"/>
      <c r="V188" s="1"/>
      <c r="W188" s="1"/>
      <c r="X188" s="1"/>
      <c r="Y188" s="1"/>
    </row>
    <row r="189" customHeight="1" spans="1:25">
      <c r="A189" s="1" t="str">
        <f>IFERROR(__xludf.DUMMYFUNCTION("""COMPUTED_VALUE"""),"fZMHqFrGso9ncmB04DqM3x")</f>
        <v>fZMHqFrGso9ncmB04DqM3x</v>
      </c>
      <c r="B189" s="1">
        <f>IFERROR(__xludf.DUMMYFUNCTION("""COMPUTED_VALUE"""),735)</f>
        <v>735</v>
      </c>
      <c r="C189" s="1" t="str">
        <f>IFERROR(__xludf.DUMMYFUNCTION("""COMPUTED_VALUE"""),"DL188")</f>
        <v>DL188</v>
      </c>
      <c r="D189" s="2">
        <f>IFERROR(__xludf.DUMMYFUNCTION("""COMPUTED_VALUE"""),45456)</f>
        <v>45456</v>
      </c>
      <c r="E189" s="1" t="str">
        <f>IFERROR(__xludf.DUMMYFUNCTION("""COMPUTED_VALUE"""),"Additive Manufacturing Solutions")</f>
        <v>Additive Manufacturing Solutions</v>
      </c>
      <c r="F189" s="1">
        <f>IFERROR(__xludf.DUMMYFUNCTION("""COMPUTED_VALUE"""),125)</f>
        <v>125</v>
      </c>
      <c r="G189" s="1" t="str">
        <f>IFERROR(__xludf.DUMMYFUNCTION("""COMPUTED_VALUE"""),"Eryone Matte")</f>
        <v>Eryone Matte</v>
      </c>
      <c r="H189" s="1">
        <f>IFERROR(__xludf.DUMMYFUNCTION("""COMPUTED_VALUE"""),24)</f>
        <v>24</v>
      </c>
      <c r="I189" s="1"/>
      <c r="J189" s="1">
        <f>IFERROR(__xludf.DUMMYFUNCTION("""COMPUTED_VALUE"""),1.33)</f>
        <v>1.33</v>
      </c>
      <c r="K189" s="1">
        <f>IFERROR(__xludf.DUMMYFUNCTION("""COMPUTED_VALUE"""),389.5)</f>
        <v>389.5</v>
      </c>
      <c r="L189" s="1" t="str">
        <f>IFERROR(__xludf.DUMMYFUNCTION("""COMPUTED_VALUE"""),"Yes")</f>
        <v>Yes</v>
      </c>
      <c r="M189" s="1" t="str">
        <f>IFERROR(__xludf.DUMMYFUNCTION("""COMPUTED_VALUE"""),"Yes")</f>
        <v>Yes</v>
      </c>
      <c r="N189" s="1" t="str">
        <f>IFERROR(__xludf.DUMMYFUNCTION("""COMPUTED_VALUE"""),"China")</f>
        <v>China</v>
      </c>
      <c r="O189" s="1" t="str">
        <f>IFERROR(__xludf.DUMMYFUNCTION("""COMPUTED_VALUE"""),"Shenzhen")</f>
        <v>Shenzhen</v>
      </c>
      <c r="P189" s="1" t="str">
        <f>IFERROR(__xludf.DUMMYFUNCTION("""COMPUTED_VALUE"""),"South Africa")</f>
        <v>South Africa</v>
      </c>
      <c r="Q189" s="1" t="str">
        <f>IFERROR(__xludf.DUMMYFUNCTION("""COMPUTED_VALUE"""),"Centurion")</f>
        <v>Centurion</v>
      </c>
      <c r="R189" s="1" t="str">
        <f>IFERROR(__xludf.DUMMYFUNCTION("""COMPUTED_VALUE"""),"Sea")</f>
        <v>Sea</v>
      </c>
      <c r="S189" s="1" t="str">
        <f>IFERROR(__xludf.DUMMYFUNCTION("""COMPUTED_VALUE"""),"FCA")</f>
        <v>FCA</v>
      </c>
      <c r="T189" s="1" t="str">
        <f>IFERROR(__xludf.DUMMYFUNCTION("""COMPUTED_VALUE"""),"Shenzhen Nimbus Shipping Co ltd")</f>
        <v>Shenzhen Nimbus Shipping Co ltd</v>
      </c>
      <c r="U189" s="1" t="str">
        <f>IFERROR(__xludf.DUMMYFUNCTION("""COMPUTED_VALUE"""),"Rm 401,V valley City Shanhai,NO.1 Yongxiang road,Bantian Street,Longgang District,Shenzhen,China.")</f>
        <v>Rm 401,V valley City Shanhai,NO.1 Yongxiang road,Bantian Street,Longgang District,Shenzhen,China.</v>
      </c>
      <c r="V189" s="1"/>
      <c r="W189" s="1"/>
      <c r="X189" s="1"/>
      <c r="Y189" s="1"/>
    </row>
    <row r="190" customHeight="1" spans="1:25">
      <c r="A190" s="1" t="str">
        <f>IFERROR(__xludf.DUMMYFUNCTION("""COMPUTED_VALUE"""),"PRiB8rxAS3P1Tmvka5vppl")</f>
        <v>PRiB8rxAS3P1Tmvka5vppl</v>
      </c>
      <c r="B190" s="1">
        <f>IFERROR(__xludf.DUMMYFUNCTION("""COMPUTED_VALUE"""),189)</f>
        <v>189</v>
      </c>
      <c r="C190" s="1" t="str">
        <f>IFERROR(__xludf.DUMMYFUNCTION("""COMPUTED_VALUE"""),"DL189")</f>
        <v>DL189</v>
      </c>
      <c r="D190" s="2">
        <f>IFERROR(__xludf.DUMMYFUNCTION("""COMPUTED_VALUE"""),45456)</f>
        <v>45456</v>
      </c>
      <c r="E190" s="1" t="str">
        <f>IFERROR(__xludf.DUMMYFUNCTION("""COMPUTED_VALUE"""),"Sithembe Procuments")</f>
        <v>Sithembe Procuments</v>
      </c>
      <c r="F190" s="1">
        <f>IFERROR(__xludf.DUMMYFUNCTION("""COMPUTED_VALUE"""),347)</f>
        <v>347</v>
      </c>
      <c r="G190" s="1" t="str">
        <f>IFERROR(__xludf.DUMMYFUNCTION("""COMPUTED_VALUE"""),"The Cart")</f>
        <v>The Cart</v>
      </c>
      <c r="H190" s="1">
        <f>IFERROR(__xludf.DUMMYFUNCTION("""COMPUTED_VALUE"""),1)</f>
        <v>1</v>
      </c>
      <c r="I190" s="1"/>
      <c r="J190" s="1">
        <f>IFERROR(__xludf.DUMMYFUNCTION("""COMPUTED_VALUE"""),0.03)</f>
        <v>0.03</v>
      </c>
      <c r="K190" s="1">
        <f>IFERROR(__xludf.DUMMYFUNCTION("""COMPUTED_VALUE"""),2)</f>
        <v>2</v>
      </c>
      <c r="L190" s="1" t="str">
        <f>IFERROR(__xludf.DUMMYFUNCTION("""COMPUTED_VALUE"""),"Yes")</f>
        <v>Yes</v>
      </c>
      <c r="M190" s="1" t="str">
        <f>IFERROR(__xludf.DUMMYFUNCTION("""COMPUTED_VALUE"""),"Yes")</f>
        <v>Yes</v>
      </c>
      <c r="N190" s="1" t="str">
        <f>IFERROR(__xludf.DUMMYFUNCTION("""COMPUTED_VALUE"""),"China")</f>
        <v>China</v>
      </c>
      <c r="O190" s="1" t="str">
        <f>IFERROR(__xludf.DUMMYFUNCTION("""COMPUTED_VALUE"""),"Shenzhen")</f>
        <v>Shenzhen</v>
      </c>
      <c r="P190" s="1" t="str">
        <f>IFERROR(__xludf.DUMMYFUNCTION("""COMPUTED_VALUE"""),"SouthAfrica")</f>
        <v>SouthAfrica</v>
      </c>
      <c r="Q190" s="1" t="str">
        <f>IFERROR(__xludf.DUMMYFUNCTION("""COMPUTED_VALUE"""),"Johannesburg")</f>
        <v>Johannesburg</v>
      </c>
      <c r="R190" s="1" t="str">
        <f>IFERROR(__xludf.DUMMYFUNCTION("""COMPUTED_VALUE"""),"Sea")</f>
        <v>Sea</v>
      </c>
      <c r="S190" s="1" t="str">
        <f>IFERROR(__xludf.DUMMYFUNCTION("""COMPUTED_VALUE"""),"FCA")</f>
        <v>FCA</v>
      </c>
      <c r="T190" s="1" t="str">
        <f>IFERROR(__xludf.DUMMYFUNCTION("""COMPUTED_VALUE"""),"SHENZHEN NIMBUS SHIPPING CO.,LTD")</f>
        <v>SHENZHEN NIMBUS SHIPPING CO.,LTD</v>
      </c>
      <c r="U190" s="1" t="str">
        <f>IFERROR(__xludf.DUMMYFUNCTION("""COMPUTED_VALUE"""),"RM416,V VALLEY CITY SHANHAI,NO.1 YONGXIANG ROAD,BANTIAN STREET,LONGGANG DISTRICT,SHENZHEN,CHINA.")</f>
        <v>RM416,V VALLEY CITY SHANHAI,NO.1 YONGXIANG ROAD,BANTIAN STREET,LONGGANG DISTRICT,SHENZHEN,CHINA.</v>
      </c>
      <c r="V190" s="1"/>
      <c r="W190" s="1"/>
      <c r="X190" s="1"/>
      <c r="Y190" s="1"/>
    </row>
    <row r="191" customHeight="1" spans="1:25">
      <c r="A191" s="1" t="str">
        <f>IFERROR(__xludf.DUMMYFUNCTION("""COMPUTED_VALUE"""),"LqmtZLrq06nOgrQKz25dnh")</f>
        <v>LqmtZLrq06nOgrQKz25dnh</v>
      </c>
      <c r="B191" s="1">
        <f>IFERROR(__xludf.DUMMYFUNCTION("""COMPUTED_VALUE"""),740)</f>
        <v>740</v>
      </c>
      <c r="C191" s="1" t="str">
        <f>IFERROR(__xludf.DUMMYFUNCTION("""COMPUTED_VALUE"""),"DL191")</f>
        <v>DL191</v>
      </c>
      <c r="D191" s="2">
        <f>IFERROR(__xludf.DUMMYFUNCTION("""COMPUTED_VALUE"""),45457)</f>
        <v>45457</v>
      </c>
      <c r="E191" s="1" t="str">
        <f>IFERROR(__xludf.DUMMYFUNCTION("""COMPUTED_VALUE"""),"Heide med pharmacy")</f>
        <v>Heide med pharmacy</v>
      </c>
      <c r="F191" s="1">
        <f>IFERROR(__xludf.DUMMYFUNCTION("""COMPUTED_VALUE"""),483)</f>
        <v>483</v>
      </c>
      <c r="G191" s="1" t="str">
        <f>IFERROR(__xludf.DUMMYFUNCTION("""COMPUTED_VALUE"""),"Boots")</f>
        <v>Boots</v>
      </c>
      <c r="H191" s="1">
        <f>IFERROR(__xludf.DUMMYFUNCTION("""COMPUTED_VALUE"""),1)</f>
        <v>1</v>
      </c>
      <c r="I191" s="1"/>
      <c r="J191" s="1">
        <f>IFERROR(__xludf.DUMMYFUNCTION("""COMPUTED_VALUE"""),0.01)</f>
        <v>0.01</v>
      </c>
      <c r="K191" s="1">
        <f>IFERROR(__xludf.DUMMYFUNCTION("""COMPUTED_VALUE"""),2.06)</f>
        <v>2.06</v>
      </c>
      <c r="L191" s="1" t="str">
        <f>IFERROR(__xludf.DUMMYFUNCTION("""COMPUTED_VALUE"""),"Yes")</f>
        <v>Yes</v>
      </c>
      <c r="M191" s="1" t="str">
        <f>IFERROR(__xludf.DUMMYFUNCTION("""COMPUTED_VALUE"""),"Yes")</f>
        <v>Yes</v>
      </c>
      <c r="N191" s="1" t="str">
        <f>IFERROR(__xludf.DUMMYFUNCTION("""COMPUTED_VALUE"""),"SOUTH AFRICA")</f>
        <v>SOUTH AFRICA</v>
      </c>
      <c r="O191" s="1" t="str">
        <f>IFERROR(__xludf.DUMMYFUNCTION("""COMPUTED_VALUE"""),"BLOEMFONTEIN")</f>
        <v>BLOEMFONTEIN</v>
      </c>
      <c r="P191" s="1" t="str">
        <f>IFERROR(__xludf.DUMMYFUNCTION("""COMPUTED_VALUE"""),"CHINA")</f>
        <v>CHINA</v>
      </c>
      <c r="Q191" s="1" t="str">
        <f>IFERROR(__xludf.DUMMYFUNCTION("""COMPUTED_VALUE"""),"SHANDONG PROVINCE")</f>
        <v>SHANDONG PROVINCE</v>
      </c>
      <c r="R191" s="1" t="str">
        <f>IFERROR(__xludf.DUMMYFUNCTION("""COMPUTED_VALUE"""),"Air")</f>
        <v>Air</v>
      </c>
      <c r="S191" s="1" t="str">
        <f>IFERROR(__xludf.DUMMYFUNCTION("""COMPUTED_VALUE"""),"EXW")</f>
        <v>EXW</v>
      </c>
      <c r="T191" s="1"/>
      <c r="U191" s="1"/>
      <c r="V191" s="1"/>
      <c r="W191" s="1"/>
      <c r="X191" s="1"/>
      <c r="Y191" s="1"/>
    </row>
    <row r="192" customHeight="1" spans="1:25">
      <c r="A192" s="1" t="str">
        <f>IFERROR(__xludf.DUMMYFUNCTION("""COMPUTED_VALUE"""),"OtKCl16XvrNApo4iOtBArS")</f>
        <v>OtKCl16XvrNApo4iOtBArS</v>
      </c>
      <c r="B192" s="1">
        <f>IFERROR(__xludf.DUMMYFUNCTION("""COMPUTED_VALUE"""),765)</f>
        <v>765</v>
      </c>
      <c r="C192" s="1" t="str">
        <f>IFERROR(__xludf.DUMMYFUNCTION("""COMPUTED_VALUE"""),"DL192")</f>
        <v>DL192</v>
      </c>
      <c r="D192" s="2">
        <f>IFERROR(__xludf.DUMMYFUNCTION("""COMPUTED_VALUE"""),45464)</f>
        <v>45464</v>
      </c>
      <c r="E192" s="1" t="str">
        <f>IFERROR(__xludf.DUMMYFUNCTION("""COMPUTED_VALUE"""),"Sithembe Procuments")</f>
        <v>Sithembe Procuments</v>
      </c>
      <c r="F192" s="1">
        <f>IFERROR(__xludf.DUMMYFUNCTION("""COMPUTED_VALUE"""),347)</f>
        <v>347</v>
      </c>
      <c r="G192" s="1" t="str">
        <f>IFERROR(__xludf.DUMMYFUNCTION("""COMPUTED_VALUE"""),"Valves")</f>
        <v>Valves</v>
      </c>
      <c r="H192" s="1">
        <f>IFERROR(__xludf.DUMMYFUNCTION("""COMPUTED_VALUE"""),1)</f>
        <v>1</v>
      </c>
      <c r="I192" s="1"/>
      <c r="J192" s="1">
        <f>IFERROR(__xludf.DUMMYFUNCTION("""COMPUTED_VALUE"""),0.19)</f>
        <v>0.19</v>
      </c>
      <c r="K192" s="1">
        <f>IFERROR(__xludf.DUMMYFUNCTION("""COMPUTED_VALUE"""),70)</f>
        <v>70</v>
      </c>
      <c r="L192" s="1" t="str">
        <f>IFERROR(__xludf.DUMMYFUNCTION("""COMPUTED_VALUE"""),"Yes")</f>
        <v>Yes</v>
      </c>
      <c r="M192" s="1" t="str">
        <f>IFERROR(__xludf.DUMMYFUNCTION("""COMPUTED_VALUE"""),"Yes")</f>
        <v>Yes</v>
      </c>
      <c r="N192" s="1" t="str">
        <f>IFERROR(__xludf.DUMMYFUNCTION("""COMPUTED_VALUE"""),"Poland")</f>
        <v>Poland</v>
      </c>
      <c r="O192" s="1"/>
      <c r="P192" s="1" t="str">
        <f>IFERROR(__xludf.DUMMYFUNCTION("""COMPUTED_VALUE"""),"South Africa")</f>
        <v>South Africa</v>
      </c>
      <c r="Q192" s="1" t="str">
        <f>IFERROR(__xludf.DUMMYFUNCTION("""COMPUTED_VALUE"""),"Albarton")</f>
        <v>Albarton</v>
      </c>
      <c r="R192" s="1" t="str">
        <f>IFERROR(__xludf.DUMMYFUNCTION("""COMPUTED_VALUE"""),"Air")</f>
        <v>Air</v>
      </c>
      <c r="S192" s="1" t="str">
        <f>IFERROR(__xludf.DUMMYFUNCTION("""COMPUTED_VALUE"""),"EXW")</f>
        <v>EXW</v>
      </c>
      <c r="T192" s="1" t="str">
        <f>IFERROR(__xludf.DUMMYFUNCTION("""COMPUTED_VALUE"""),"Asia Direct")</f>
        <v>Asia Direct</v>
      </c>
      <c r="U192" s="1"/>
      <c r="V192" s="1"/>
      <c r="W192" s="1"/>
      <c r="X192" s="1"/>
      <c r="Y192" s="1"/>
    </row>
    <row r="193" customHeight="1" spans="1:25">
      <c r="A193" s="1" t="str">
        <f>IFERROR(__xludf.DUMMYFUNCTION("""COMPUTED_VALUE"""),"CMSLM55ICW3CQciD7jfEp4")</f>
        <v>CMSLM55ICW3CQciD7jfEp4</v>
      </c>
      <c r="B193" s="1">
        <f>IFERROR(__xludf.DUMMYFUNCTION("""COMPUTED_VALUE"""),627)</f>
        <v>627</v>
      </c>
      <c r="C193" s="1" t="str">
        <f>IFERROR(__xludf.DUMMYFUNCTION("""COMPUTED_VALUE"""),"DL193")</f>
        <v>DL193</v>
      </c>
      <c r="D193" s="2">
        <f>IFERROR(__xludf.DUMMYFUNCTION("""COMPUTED_VALUE"""),45404)</f>
        <v>45404</v>
      </c>
      <c r="E193" s="1" t="str">
        <f>IFERROR(__xludf.DUMMYFUNCTION("""COMPUTED_VALUE"""),"Maite Shatele")</f>
        <v>Maite Shatele</v>
      </c>
      <c r="F193" s="1">
        <f>IFERROR(__xludf.DUMMYFUNCTION("""COMPUTED_VALUE"""),464)</f>
        <v>464</v>
      </c>
      <c r="G193" s="1" t="str">
        <f>IFERROR(__xludf.DUMMYFUNCTION("""COMPUTED_VALUE"""),"Peanut Roasting Machine")</f>
        <v>Peanut Roasting Machine</v>
      </c>
      <c r="H193" s="1">
        <f>IFERROR(__xludf.DUMMYFUNCTION("""COMPUTED_VALUE"""),1)</f>
        <v>1</v>
      </c>
      <c r="I193" s="1"/>
      <c r="J193" s="1">
        <f>IFERROR(__xludf.DUMMYFUNCTION("""COMPUTED_VALUE"""),0.53)</f>
        <v>0.53</v>
      </c>
      <c r="K193" s="1">
        <f>IFERROR(__xludf.DUMMYFUNCTION("""COMPUTED_VALUE"""),82)</f>
        <v>82</v>
      </c>
      <c r="L193" s="1" t="str">
        <f>IFERROR(__xludf.DUMMYFUNCTION("""COMPUTED_VALUE"""),"Yes")</f>
        <v>Yes</v>
      </c>
      <c r="M193" s="1" t="str">
        <f>IFERROR(__xludf.DUMMYFUNCTION("""COMPUTED_VALUE"""),"Yes")</f>
        <v>Yes</v>
      </c>
      <c r="N193" s="1" t="str">
        <f>IFERROR(__xludf.DUMMYFUNCTION("""COMPUTED_VALUE"""),"China")</f>
        <v>China</v>
      </c>
      <c r="O193" s="1" t="str">
        <f>IFERROR(__xludf.DUMMYFUNCTION("""COMPUTED_VALUE"""),"Shenzhen")</f>
        <v>Shenzhen</v>
      </c>
      <c r="P193" s="1" t="str">
        <f>IFERROR(__xludf.DUMMYFUNCTION("""COMPUTED_VALUE"""),"South Africa")</f>
        <v>South Africa</v>
      </c>
      <c r="Q193" s="1" t="str">
        <f>IFERROR(__xludf.DUMMYFUNCTION("""COMPUTED_VALUE"""),"Johannesburg")</f>
        <v>Johannesburg</v>
      </c>
      <c r="R193" s="1" t="str">
        <f>IFERROR(__xludf.DUMMYFUNCTION("""COMPUTED_VALUE"""),"Sea")</f>
        <v>Sea</v>
      </c>
      <c r="S193" s="1" t="str">
        <f>IFERROR(__xludf.DUMMYFUNCTION("""COMPUTED_VALUE"""),"FCA")</f>
        <v>FCA</v>
      </c>
      <c r="T193" s="1" t="str">
        <f>IFERROR(__xludf.DUMMYFUNCTION("""COMPUTED_VALUE"""),"SHENZHEN NIMBUS SHIPPING CO.,LTD")</f>
        <v>SHENZHEN NIMBUS SHIPPING CO.,LTD</v>
      </c>
      <c r="U193" s="1" t="str">
        <f>IFERROR(__xludf.DUMMYFUNCTION("""COMPUTED_VALUE"""),"Yong Xiang Lu, Long Gang Qu, Shen Zhen Shi, Guang Dong Sheng, China")</f>
        <v>Yong Xiang Lu, Long Gang Qu, Shen Zhen Shi, Guang Dong Sheng, China</v>
      </c>
      <c r="V193" s="1"/>
      <c r="W193" s="1" t="str">
        <f>IFERROR(__xludf.DUMMYFUNCTION("""COMPUTED_VALUE"""),"TEL:008675589699684")</f>
        <v>TEL:008675589699684</v>
      </c>
      <c r="X193" s="1"/>
      <c r="Y193" s="1"/>
    </row>
    <row r="194" customHeight="1" spans="1:25">
      <c r="A194" s="1" t="str">
        <f>IFERROR(__xludf.DUMMYFUNCTION("""COMPUTED_VALUE"""),"XGCEVhWULw5pLM2VAgwU6t")</f>
        <v>XGCEVhWULw5pLM2VAgwU6t</v>
      </c>
      <c r="B194" s="1">
        <f>IFERROR(__xludf.DUMMYFUNCTION("""COMPUTED_VALUE"""),745)</f>
        <v>745</v>
      </c>
      <c r="C194" s="1" t="str">
        <f>IFERROR(__xludf.DUMMYFUNCTION("""COMPUTED_VALUE"""),"DL194")</f>
        <v>DL194</v>
      </c>
      <c r="D194" s="2">
        <f>IFERROR(__xludf.DUMMYFUNCTION("""COMPUTED_VALUE"""),45461)</f>
        <v>45461</v>
      </c>
      <c r="E194" s="1" t="str">
        <f>IFERROR(__xludf.DUMMYFUNCTION("""COMPUTED_VALUE"""),"Sparcraft Masts SA (Pty) Ltd")</f>
        <v>Sparcraft Masts SA (Pty) Ltd</v>
      </c>
      <c r="F194" s="1">
        <f>IFERROR(__xludf.DUMMYFUNCTION("""COMPUTED_VALUE"""),516)</f>
        <v>516</v>
      </c>
      <c r="G194" s="1" t="str">
        <f>IFERROR(__xludf.DUMMYFUNCTION("""COMPUTED_VALUE"""),"Machin parts")</f>
        <v>Machin parts</v>
      </c>
      <c r="H194" s="1">
        <f>IFERROR(__xludf.DUMMYFUNCTION("""COMPUTED_VALUE"""),1)</f>
        <v>1</v>
      </c>
      <c r="I194" s="1"/>
      <c r="J194" s="1">
        <f>IFERROR(__xludf.DUMMYFUNCTION("""COMPUTED_VALUE"""),0.22)</f>
        <v>0.22</v>
      </c>
      <c r="K194" s="1">
        <f>IFERROR(__xludf.DUMMYFUNCTION("""COMPUTED_VALUE"""),140)</f>
        <v>140</v>
      </c>
      <c r="L194" s="1" t="str">
        <f>IFERROR(__xludf.DUMMYFUNCTION("""COMPUTED_VALUE"""),"Yes")</f>
        <v>Yes</v>
      </c>
      <c r="M194" s="1" t="str">
        <f>IFERROR(__xludf.DUMMYFUNCTION("""COMPUTED_VALUE"""),"Yes")</f>
        <v>Yes</v>
      </c>
      <c r="N194" s="1"/>
      <c r="O194" s="1"/>
      <c r="P194" s="1"/>
      <c r="Q194" s="1"/>
      <c r="R194" s="1" t="str">
        <f>IFERROR(__xludf.DUMMYFUNCTION("""COMPUTED_VALUE"""),"Sea")</f>
        <v>Sea</v>
      </c>
      <c r="S194" s="1" t="str">
        <f>IFERROR(__xludf.DUMMYFUNCTION("""COMPUTED_VALUE"""),"EXW")</f>
        <v>EXW</v>
      </c>
      <c r="T194" s="1"/>
      <c r="U194" s="1"/>
      <c r="V194" s="1"/>
      <c r="W194" s="1"/>
      <c r="X194" s="1"/>
      <c r="Y194" s="1"/>
    </row>
    <row r="195" customHeight="1" spans="1:25">
      <c r="A195" s="1" t="str">
        <f>IFERROR(__xludf.DUMMYFUNCTION("""COMPUTED_VALUE"""),"x70mfSbDqWOiV5QpkbfpDW")</f>
        <v>x70mfSbDqWOiV5QpkbfpDW</v>
      </c>
      <c r="B195" s="1">
        <f>IFERROR(__xludf.DUMMYFUNCTION("""COMPUTED_VALUE"""),779)</f>
        <v>779</v>
      </c>
      <c r="C195" s="1" t="str">
        <f>IFERROR(__xludf.DUMMYFUNCTION("""COMPUTED_VALUE"""),"DL195")</f>
        <v>DL195</v>
      </c>
      <c r="D195" s="2">
        <f>IFERROR(__xludf.DUMMYFUNCTION("""COMPUTED_VALUE"""),45470)</f>
        <v>45470</v>
      </c>
      <c r="E195" s="1" t="str">
        <f>IFERROR(__xludf.DUMMYFUNCTION("""COMPUTED_VALUE"""),"Essop")</f>
        <v>Essop</v>
      </c>
      <c r="F195" s="1">
        <f>IFERROR(__xludf.DUMMYFUNCTION("""COMPUTED_VALUE"""),548)</f>
        <v>548</v>
      </c>
      <c r="G195" s="1" t="str">
        <f>IFERROR(__xludf.DUMMYFUNCTION("""COMPUTED_VALUE"""),"Car Bumber and Spoiler")</f>
        <v>Car Bumber and Spoiler</v>
      </c>
      <c r="H195" s="1"/>
      <c r="I195" s="1"/>
      <c r="J195" s="1">
        <f>IFERROR(__xludf.DUMMYFUNCTION("""COMPUTED_VALUE"""),2.16)</f>
        <v>2.16</v>
      </c>
      <c r="K195" s="1">
        <f>IFERROR(__xludf.DUMMYFUNCTION("""COMPUTED_VALUE"""),286.8)</f>
        <v>286.8</v>
      </c>
      <c r="L195" s="1"/>
      <c r="M195" s="1"/>
      <c r="N195" s="1"/>
      <c r="O195" s="1"/>
      <c r="P195" s="1"/>
      <c r="Q195" s="1"/>
      <c r="R195" s="1" t="str">
        <f>IFERROR(__xludf.DUMMYFUNCTION("""COMPUTED_VALUE"""),"Air")</f>
        <v>Air</v>
      </c>
      <c r="S195" s="1" t="str">
        <f>IFERROR(__xludf.DUMMYFUNCTION("""COMPUTED_VALUE"""),"FCA")</f>
        <v>FCA</v>
      </c>
      <c r="T195" s="1"/>
      <c r="U195" s="1"/>
      <c r="V195" s="1"/>
      <c r="W195" s="1"/>
      <c r="X195" s="1"/>
      <c r="Y195" s="1"/>
    </row>
    <row r="196" customHeight="1" spans="1:25">
      <c r="A196" s="1" t="str">
        <f>IFERROR(__xludf.DUMMYFUNCTION("""COMPUTED_VALUE"""),"iVuZBsgnZGSlycNHwBfueq")</f>
        <v>iVuZBsgnZGSlycNHwBfueq</v>
      </c>
      <c r="B196" s="1">
        <f>IFERROR(__xludf.DUMMYFUNCTION("""COMPUTED_VALUE"""),776)</f>
        <v>776</v>
      </c>
      <c r="C196" s="1" t="str">
        <f>IFERROR(__xludf.DUMMYFUNCTION("""COMPUTED_VALUE"""),"DL196")</f>
        <v>DL196</v>
      </c>
      <c r="D196" s="2">
        <f>IFERROR(__xludf.DUMMYFUNCTION("""COMPUTED_VALUE"""),45468)</f>
        <v>45468</v>
      </c>
      <c r="E196" s="1" t="str">
        <f>IFERROR(__xludf.DUMMYFUNCTION("""COMPUTED_VALUE"""),"Courtney Heath-Lunt")</f>
        <v>Courtney Heath-Lunt</v>
      </c>
      <c r="F196" s="1">
        <f>IFERROR(__xludf.DUMMYFUNCTION("""COMPUTED_VALUE"""),563)</f>
        <v>563</v>
      </c>
      <c r="G196" s="1" t="str">
        <f>IFERROR(__xludf.DUMMYFUNCTION("""COMPUTED_VALUE"""),"Sand Wax &amp; Tissue papers")</f>
        <v>Sand Wax &amp; Tissue papers</v>
      </c>
      <c r="H196" s="1">
        <f>IFERROR(__xludf.DUMMYFUNCTION("""COMPUTED_VALUE"""),33)</f>
        <v>33</v>
      </c>
      <c r="I196" s="1"/>
      <c r="J196" s="1"/>
      <c r="K196" s="1">
        <f>IFERROR(__xludf.DUMMYFUNCTION("""COMPUTED_VALUE"""),12.97)</f>
        <v>12.97</v>
      </c>
      <c r="L196" s="1" t="str">
        <f>IFERROR(__xludf.DUMMYFUNCTION("""COMPUTED_VALUE"""),"Yes")</f>
        <v>Yes</v>
      </c>
      <c r="M196" s="1" t="str">
        <f>IFERROR(__xludf.DUMMYFUNCTION("""COMPUTED_VALUE"""),"Yes")</f>
        <v>Yes</v>
      </c>
      <c r="N196" s="1"/>
      <c r="O196" s="1"/>
      <c r="P196" s="1"/>
      <c r="Q196" s="1"/>
      <c r="R196" s="1" t="str">
        <f>IFERROR(__xludf.DUMMYFUNCTION("""COMPUTED_VALUE"""),"Sea")</f>
        <v>Sea</v>
      </c>
      <c r="S196" s="1" t="str">
        <f>IFERROR(__xludf.DUMMYFUNCTION("""COMPUTED_VALUE"""),"FOB")</f>
        <v>FOB</v>
      </c>
      <c r="T196" s="1"/>
      <c r="U196" s="1"/>
      <c r="V196" s="1"/>
      <c r="W196" s="1"/>
      <c r="X196" s="1"/>
      <c r="Y196" s="1"/>
    </row>
    <row r="197" customHeight="1" spans="1:25">
      <c r="A197" s="1" t="str">
        <f>IFERROR(__xludf.DUMMYFUNCTION("""COMPUTED_VALUE"""),"oBSjEZZsUmEzzNWUmZ6IJh")</f>
        <v>oBSjEZZsUmEzzNWUmZ6IJh</v>
      </c>
      <c r="B197" s="1">
        <f>IFERROR(__xludf.DUMMYFUNCTION("""COMPUTED_VALUE"""),699)</f>
        <v>699</v>
      </c>
      <c r="C197" s="1" t="str">
        <f>IFERROR(__xludf.DUMMYFUNCTION("""COMPUTED_VALUE"""),"DL197")</f>
        <v>DL197</v>
      </c>
      <c r="D197" s="2">
        <f>IFERROR(__xludf.DUMMYFUNCTION("""COMPUTED_VALUE"""),45439)</f>
        <v>45439</v>
      </c>
      <c r="E197" s="1" t="str">
        <f>IFERROR(__xludf.DUMMYFUNCTION("""COMPUTED_VALUE"""),"lezahn")</f>
        <v>lezahn</v>
      </c>
      <c r="F197" s="1">
        <f>IFERROR(__xludf.DUMMYFUNCTION("""COMPUTED_VALUE"""),118)</f>
        <v>118</v>
      </c>
      <c r="G197" s="1" t="str">
        <f>IFERROR(__xludf.DUMMYFUNCTION("""COMPUTED_VALUE"""),"Repair Waterproof Tape, Anti Slip Tape - Glow, and Butly Tape")</f>
        <v>Repair Waterproof Tape, Anti Slip Tape - Glow, and Butly Tape</v>
      </c>
      <c r="H197" s="1">
        <f>IFERROR(__xludf.DUMMYFUNCTION("""COMPUTED_VALUE"""),38)</f>
        <v>38</v>
      </c>
      <c r="I197" s="1"/>
      <c r="J197" s="1">
        <f>IFERROR(__xludf.DUMMYFUNCTION("""COMPUTED_VALUE"""),1.47)</f>
        <v>1.47</v>
      </c>
      <c r="K197" s="1">
        <f>IFERROR(__xludf.DUMMYFUNCTION("""COMPUTED_VALUE"""),534)</f>
        <v>534</v>
      </c>
      <c r="L197" s="1"/>
      <c r="M197" s="1"/>
      <c r="N197" s="1"/>
      <c r="O197" s="1"/>
      <c r="P197" s="1"/>
      <c r="Q197" s="1"/>
      <c r="R197" s="1" t="str">
        <f>IFERROR(__xludf.DUMMYFUNCTION("""COMPUTED_VALUE"""),"Sea")</f>
        <v>Sea</v>
      </c>
      <c r="S197" s="1" t="str">
        <f>IFERROR(__xludf.DUMMYFUNCTION("""COMPUTED_VALUE"""),"EXW")</f>
        <v>EXW</v>
      </c>
      <c r="T197" s="1"/>
      <c r="U197" s="1"/>
      <c r="V197" s="1"/>
      <c r="W197" s="1"/>
      <c r="X197" s="1"/>
      <c r="Y197" s="1"/>
    </row>
    <row r="198" customHeight="1" spans="1:25">
      <c r="A198" s="1" t="str">
        <f>IFERROR(__xludf.DUMMYFUNCTION("""COMPUTED_VALUE"""),"8XaIFojWZA1Crkhy1vyy4d")</f>
        <v>8XaIFojWZA1Crkhy1vyy4d</v>
      </c>
      <c r="B198" s="1">
        <f>IFERROR(__xludf.DUMMYFUNCTION("""COMPUTED_VALUE"""),787)</f>
        <v>787</v>
      </c>
      <c r="C198" s="1" t="str">
        <f>IFERROR(__xludf.DUMMYFUNCTION("""COMPUTED_VALUE"""),"DL198")</f>
        <v>DL198</v>
      </c>
      <c r="D198" s="2">
        <f>IFERROR(__xludf.DUMMYFUNCTION("""COMPUTED_VALUE"""),45481)</f>
        <v>45481</v>
      </c>
      <c r="E198" s="1" t="str">
        <f>IFERROR(__xludf.DUMMYFUNCTION("""COMPUTED_VALUE"""),"Bison Rigging")</f>
        <v>Bison Rigging</v>
      </c>
      <c r="F198" s="1">
        <f>IFERROR(__xludf.DUMMYFUNCTION("""COMPUTED_VALUE"""),574)</f>
        <v>574</v>
      </c>
      <c r="G198" s="1" t="str">
        <f>IFERROR(__xludf.DUMMYFUNCTION("""COMPUTED_VALUE"""),"Mattress,Bed gaslift, Fabric")</f>
        <v>Mattress,Bed gaslift, Fabric</v>
      </c>
      <c r="H198" s="1">
        <f>IFERROR(__xludf.DUMMYFUNCTION("""COMPUTED_VALUE"""),215)</f>
        <v>215</v>
      </c>
      <c r="I198" s="1"/>
      <c r="J198" s="1">
        <f>IFERROR(__xludf.DUMMYFUNCTION("""COMPUTED_VALUE"""),56.11)</f>
        <v>56.11</v>
      </c>
      <c r="K198" s="1">
        <f>IFERROR(__xludf.DUMMYFUNCTION("""COMPUTED_VALUE"""),13310)</f>
        <v>13310</v>
      </c>
      <c r="L198" s="1" t="str">
        <f>IFERROR(__xludf.DUMMYFUNCTION("""COMPUTED_VALUE"""),"Yes")</f>
        <v>Yes</v>
      </c>
      <c r="M198" s="1" t="str">
        <f>IFERROR(__xludf.DUMMYFUNCTION("""COMPUTED_VALUE"""),"Yes")</f>
        <v>Yes</v>
      </c>
      <c r="N198" s="1" t="str">
        <f>IFERROR(__xludf.DUMMYFUNCTION("""COMPUTED_VALUE"""),"China")</f>
        <v>China</v>
      </c>
      <c r="O198" s="1" t="str">
        <f>IFERROR(__xludf.DUMMYFUNCTION("""COMPUTED_VALUE"""),"Foshan")</f>
        <v>Foshan</v>
      </c>
      <c r="P198" s="1" t="str">
        <f>IFERROR(__xludf.DUMMYFUNCTION("""COMPUTED_VALUE"""),"South Africa")</f>
        <v>South Africa</v>
      </c>
      <c r="Q198" s="1" t="str">
        <f>IFERROR(__xludf.DUMMYFUNCTION("""COMPUTED_VALUE"""),"Durban")</f>
        <v>Durban</v>
      </c>
      <c r="R198" s="1" t="str">
        <f>IFERROR(__xludf.DUMMYFUNCTION("""COMPUTED_VALUE"""),"Sea")</f>
        <v>Sea</v>
      </c>
      <c r="S198" s="1" t="str">
        <f>IFERROR(__xludf.DUMMYFUNCTION("""COMPUTED_VALUE"""),"EXW")</f>
        <v>EXW</v>
      </c>
      <c r="T198" s="1" t="str">
        <f>IFERROR(__xludf.DUMMYFUNCTION("""COMPUTED_VALUE"""),"ShenZHEN Nimbus")</f>
        <v>ShenZHEN Nimbus</v>
      </c>
      <c r="U198" s="1" t="str">
        <f>IFERROR(__xludf.DUMMYFUNCTION("""COMPUTED_VALUE"""),"RM 416,V VALLEY CITY, SHANHAI,NO1 YONGXIANG ROAD, BANTIAN STREET,LONGGANG DISTRICT,SHENZHEN ,CHINA")</f>
        <v>RM 416,V VALLEY CITY, SHANHAI,NO1 YONGXIANG ROAD, BANTIAN STREET,LONGGANG DISTRICT,SHENZHEN ,CHINA</v>
      </c>
      <c r="V198" s="1"/>
      <c r="W198" s="1" t="str">
        <f>IFERROR(__xludf.DUMMYFUNCTION("""COMPUTED_VALUE"""),"+8675589699684")</f>
        <v>+8675589699684</v>
      </c>
      <c r="X198" s="1"/>
      <c r="Y198" s="1"/>
    </row>
    <row r="199" customHeight="1" spans="1:25">
      <c r="A199" s="1" t="str">
        <f>IFERROR(__xludf.DUMMYFUNCTION("""COMPUTED_VALUE"""),"DscK286Jf2WnxWcRkeUCZV")</f>
        <v>DscK286Jf2WnxWcRkeUCZV</v>
      </c>
      <c r="B199" s="1">
        <f>IFERROR(__xludf.DUMMYFUNCTION("""COMPUTED_VALUE"""),588)</f>
        <v>588</v>
      </c>
      <c r="C199" s="1" t="str">
        <f>IFERROR(__xludf.DUMMYFUNCTION("""COMPUTED_VALUE"""),"DL199")</f>
        <v>DL199</v>
      </c>
      <c r="D199" s="2">
        <f>IFERROR(__xludf.DUMMYFUNCTION("""COMPUTED_VALUE"""),45392)</f>
        <v>45392</v>
      </c>
      <c r="E199" s="1" t="str">
        <f>IFERROR(__xludf.DUMMYFUNCTION("""COMPUTED_VALUE"""),"Mpumatech Stainless Tube (Pty) Ltd")</f>
        <v>Mpumatech Stainless Tube (Pty) Ltd</v>
      </c>
      <c r="F199" s="1">
        <f>IFERROR(__xludf.DUMMYFUNCTION("""COMPUTED_VALUE"""),414)</f>
        <v>414</v>
      </c>
      <c r="G199" s="1" t="str">
        <f>IFERROR(__xludf.DUMMYFUNCTION("""COMPUTED_VALUE"""),"Stench gas cylinder")</f>
        <v>Stench gas cylinder</v>
      </c>
      <c r="H199" s="1">
        <f>IFERROR(__xludf.DUMMYFUNCTION("""COMPUTED_VALUE"""),1)</f>
        <v>1</v>
      </c>
      <c r="I199" s="1"/>
      <c r="J199" s="1">
        <f>IFERROR(__xludf.DUMMYFUNCTION("""COMPUTED_VALUE"""),0.04)</f>
        <v>0.04</v>
      </c>
      <c r="K199" s="1">
        <f>IFERROR(__xludf.DUMMYFUNCTION("""COMPUTED_VALUE"""),24)</f>
        <v>24</v>
      </c>
      <c r="L199" s="1" t="str">
        <f>IFERROR(__xludf.DUMMYFUNCTION("""COMPUTED_VALUE"""),"Yes")</f>
        <v>Yes</v>
      </c>
      <c r="M199" s="1" t="str">
        <f>IFERROR(__xludf.DUMMYFUNCTION("""COMPUTED_VALUE"""),"Yes")</f>
        <v>Yes</v>
      </c>
      <c r="N199" s="1" t="str">
        <f>IFERROR(__xludf.DUMMYFUNCTION("""COMPUTED_VALUE"""),"South Africa")</f>
        <v>South Africa</v>
      </c>
      <c r="O199" s="1" t="str">
        <f>IFERROR(__xludf.DUMMYFUNCTION("""COMPUTED_VALUE"""),"Sandton")</f>
        <v>Sandton</v>
      </c>
      <c r="P199" s="1" t="str">
        <f>IFERROR(__xludf.DUMMYFUNCTION("""COMPUTED_VALUE"""),"Mali")</f>
        <v>Mali</v>
      </c>
      <c r="Q199" s="1" t="str">
        <f>IFERROR(__xludf.DUMMYFUNCTION("""COMPUTED_VALUE"""),"Bamako")</f>
        <v>Bamako</v>
      </c>
      <c r="R199" s="1" t="str">
        <f>IFERROR(__xludf.DUMMYFUNCTION("""COMPUTED_VALUE"""),"Air")</f>
        <v>Air</v>
      </c>
      <c r="S199" s="1" t="str">
        <f>IFERROR(__xludf.DUMMYFUNCTION("""COMPUTED_VALUE"""),"EXW")</f>
        <v>EXW</v>
      </c>
      <c r="T199" s="1" t="str">
        <f>IFERROR(__xludf.DUMMYFUNCTION("""COMPUTED_VALUE"""),"Asia direct")</f>
        <v>Asia direct</v>
      </c>
      <c r="U199" s="1" t="str">
        <f>IFERROR(__xludf.DUMMYFUNCTION("""COMPUTED_VALUE"""),"2 Anemoon, VIlla Valencia")</f>
        <v>2 Anemoon, VIlla Valencia</v>
      </c>
      <c r="V199" s="1"/>
      <c r="W199" s="1"/>
      <c r="X199" s="1"/>
      <c r="Y199" s="1"/>
    </row>
    <row r="200" customHeight="1" spans="1:25">
      <c r="A200" s="1" t="str">
        <f>IFERROR(__xludf.DUMMYFUNCTION("""COMPUTED_VALUE"""),"g5cwZu5lKmWy7950r5f1VK")</f>
        <v>g5cwZu5lKmWy7950r5f1VK</v>
      </c>
      <c r="B200" s="1">
        <f>IFERROR(__xludf.DUMMYFUNCTION("""COMPUTED_VALUE"""),616)</f>
        <v>616</v>
      </c>
      <c r="C200" s="1" t="str">
        <f>IFERROR(__xludf.DUMMYFUNCTION("""COMPUTED_VALUE"""),"DL200")</f>
        <v>DL200</v>
      </c>
      <c r="D200" s="2">
        <f>IFERROR(__xludf.DUMMYFUNCTION("""COMPUTED_VALUE"""),45454)</f>
        <v>45454</v>
      </c>
      <c r="E200" s="1" t="str">
        <f>IFERROR(__xludf.DUMMYFUNCTION("""COMPUTED_VALUE"""),"Mpumatech Stainless Tube (Pty) Ltd")</f>
        <v>Mpumatech Stainless Tube (Pty) Ltd</v>
      </c>
      <c r="F200" s="1">
        <f>IFERROR(__xludf.DUMMYFUNCTION("""COMPUTED_VALUE"""),414)</f>
        <v>414</v>
      </c>
      <c r="G200" s="1" t="str">
        <f>IFERROR(__xludf.DUMMYFUNCTION("""COMPUTED_VALUE"""),"Carbon Brushes and Springs")</f>
        <v>Carbon Brushes and Springs</v>
      </c>
      <c r="H200" s="1">
        <f>IFERROR(__xludf.DUMMYFUNCTION("""COMPUTED_VALUE"""),1)</f>
        <v>1</v>
      </c>
      <c r="I200" s="1"/>
      <c r="J200" s="1">
        <f>IFERROR(__xludf.DUMMYFUNCTION("""COMPUTED_VALUE"""),0.16)</f>
        <v>0.16</v>
      </c>
      <c r="K200" s="1">
        <f>IFERROR(__xludf.DUMMYFUNCTION("""COMPUTED_VALUE"""),10)</f>
        <v>10</v>
      </c>
      <c r="L200" s="1" t="str">
        <f>IFERROR(__xludf.DUMMYFUNCTION("""COMPUTED_VALUE"""),"Yes")</f>
        <v>Yes</v>
      </c>
      <c r="M200" s="1" t="str">
        <f>IFERROR(__xludf.DUMMYFUNCTION("""COMPUTED_VALUE"""),"Yes")</f>
        <v>Yes</v>
      </c>
      <c r="N200" s="1" t="str">
        <f>IFERROR(__xludf.DUMMYFUNCTION("""COMPUTED_VALUE"""),"South Africa")</f>
        <v>South Africa</v>
      </c>
      <c r="O200" s="1" t="str">
        <f>IFERROR(__xludf.DUMMYFUNCTION("""COMPUTED_VALUE"""),"Johannesburg")</f>
        <v>Johannesburg</v>
      </c>
      <c r="P200" s="1" t="str">
        <f>IFERROR(__xludf.DUMMYFUNCTION("""COMPUTED_VALUE"""),"Mali")</f>
        <v>Mali</v>
      </c>
      <c r="Q200" s="1" t="str">
        <f>IFERROR(__xludf.DUMMYFUNCTION("""COMPUTED_VALUE"""),"Bamako")</f>
        <v>Bamako</v>
      </c>
      <c r="R200" s="1" t="str">
        <f>IFERROR(__xludf.DUMMYFUNCTION("""COMPUTED_VALUE"""),"Air")</f>
        <v>Air</v>
      </c>
      <c r="S200" s="1" t="str">
        <f>IFERROR(__xludf.DUMMYFUNCTION("""COMPUTED_VALUE"""),"EXW")</f>
        <v>EXW</v>
      </c>
      <c r="T200" s="1" t="str">
        <f>IFERROR(__xludf.DUMMYFUNCTION("""COMPUTED_VALUE"""),"Asia direct")</f>
        <v>Asia direct</v>
      </c>
      <c r="U200" s="1"/>
      <c r="V200" s="1"/>
      <c r="W200" s="1"/>
      <c r="X200" s="1"/>
      <c r="Y200" s="1"/>
    </row>
    <row r="201" customHeight="1" spans="1:25">
      <c r="A201" s="1" t="str">
        <f>IFERROR(__xludf.DUMMYFUNCTION("""COMPUTED_VALUE"""),"3gNaawRDzMcXXeARsOjTGn")</f>
        <v>3gNaawRDzMcXXeARsOjTGn</v>
      </c>
      <c r="B201" s="1">
        <f>IFERROR(__xludf.DUMMYFUNCTION("""COMPUTED_VALUE"""),697)</f>
        <v>697</v>
      </c>
      <c r="C201" s="1" t="str">
        <f>IFERROR(__xludf.DUMMYFUNCTION("""COMPUTED_VALUE"""),"DL201")</f>
        <v>DL201</v>
      </c>
      <c r="D201" s="2">
        <f>IFERROR(__xludf.DUMMYFUNCTION("""COMPUTED_VALUE"""),45436)</f>
        <v>45436</v>
      </c>
      <c r="E201" s="1" t="str">
        <f>IFERROR(__xludf.DUMMYFUNCTION("""COMPUTED_VALUE"""),"Ben Gazide")</f>
        <v>Ben Gazide</v>
      </c>
      <c r="F201" s="1">
        <f>IFERROR(__xludf.DUMMYFUNCTION("""COMPUTED_VALUE"""),492)</f>
        <v>492</v>
      </c>
      <c r="G201" s="1" t="str">
        <f>IFERROR(__xludf.DUMMYFUNCTION("""COMPUTED_VALUE"""),"Shoes")</f>
        <v>Shoes</v>
      </c>
      <c r="H201" s="1">
        <f>IFERROR(__xludf.DUMMYFUNCTION("""COMPUTED_VALUE"""),1)</f>
        <v>1</v>
      </c>
      <c r="I201" s="1"/>
      <c r="J201" s="1">
        <f>IFERROR(__xludf.DUMMYFUNCTION("""COMPUTED_VALUE"""),0.1)</f>
        <v>0.1</v>
      </c>
      <c r="K201" s="1">
        <f>IFERROR(__xludf.DUMMYFUNCTION("""COMPUTED_VALUE"""),13)</f>
        <v>13</v>
      </c>
      <c r="L201" s="1" t="str">
        <f>IFERROR(__xludf.DUMMYFUNCTION("""COMPUTED_VALUE"""),"Yes")</f>
        <v>Yes</v>
      </c>
      <c r="M201" s="1" t="str">
        <f>IFERROR(__xludf.DUMMYFUNCTION("""COMPUTED_VALUE"""),"Yes")</f>
        <v>Yes</v>
      </c>
      <c r="N201" s="1" t="str">
        <f>IFERROR(__xludf.DUMMYFUNCTION("""COMPUTED_VALUE"""),"China")</f>
        <v>China</v>
      </c>
      <c r="O201" s="1" t="str">
        <f>IFERROR(__xludf.DUMMYFUNCTION("""COMPUTED_VALUE"""),"Shenzhen")</f>
        <v>Shenzhen</v>
      </c>
      <c r="P201" s="1" t="str">
        <f>IFERROR(__xludf.DUMMYFUNCTION("""COMPUTED_VALUE"""),"South Africa")</f>
        <v>South Africa</v>
      </c>
      <c r="Q201" s="1" t="str">
        <f>IFERROR(__xludf.DUMMYFUNCTION("""COMPUTED_VALUE"""),"Mpumalanga")</f>
        <v>Mpumalanga</v>
      </c>
      <c r="R201" s="1" t="str">
        <f>IFERROR(__xludf.DUMMYFUNCTION("""COMPUTED_VALUE"""),"Air")</f>
        <v>Air</v>
      </c>
      <c r="S201" s="1" t="str">
        <f>IFERROR(__xludf.DUMMYFUNCTION("""COMPUTED_VALUE"""),"FCA")</f>
        <v>FCA</v>
      </c>
      <c r="T201" s="1" t="str">
        <f>IFERROR(__xludf.DUMMYFUNCTION("""COMPUTED_VALUE"""),"Obd logistics Co ltd")</f>
        <v>Obd logistics Co ltd</v>
      </c>
      <c r="U201" s="1"/>
      <c r="V201" s="1"/>
      <c r="W201" s="1"/>
      <c r="X201" s="1"/>
      <c r="Y201" s="1"/>
    </row>
    <row r="202" customHeight="1" spans="1:25">
      <c r="A202" s="1" t="str">
        <f>IFERROR(__xludf.DUMMYFUNCTION("""COMPUTED_VALUE"""),"0q3eVfc3EF6bNHmiUexVOR")</f>
        <v>0q3eVfc3EF6bNHmiUexVOR</v>
      </c>
      <c r="B202" s="1">
        <f>IFERROR(__xludf.DUMMYFUNCTION("""COMPUTED_VALUE"""),804)</f>
        <v>804</v>
      </c>
      <c r="C202" s="1" t="str">
        <f>IFERROR(__xludf.DUMMYFUNCTION("""COMPUTED_VALUE"""),"DL202")</f>
        <v>DL202</v>
      </c>
      <c r="D202" s="2">
        <f>IFERROR(__xludf.DUMMYFUNCTION("""COMPUTED_VALUE"""),45485)</f>
        <v>45485</v>
      </c>
      <c r="E202" s="1" t="str">
        <f>IFERROR(__xludf.DUMMYFUNCTION("""COMPUTED_VALUE"""),"Karl Bulow")</f>
        <v>Karl Bulow</v>
      </c>
      <c r="F202" s="1">
        <f>IFERROR(__xludf.DUMMYFUNCTION("""COMPUTED_VALUE"""),227)</f>
        <v>227</v>
      </c>
      <c r="G202" s="1" t="str">
        <f>IFERROR(__xludf.DUMMYFUNCTION("""COMPUTED_VALUE"""),"Clothes")</f>
        <v>Clothes</v>
      </c>
      <c r="H202" s="1">
        <f>IFERROR(__xludf.DUMMYFUNCTION("""COMPUTED_VALUE"""),1)</f>
        <v>1</v>
      </c>
      <c r="I202" s="1"/>
      <c r="J202" s="1">
        <f>IFERROR(__xludf.DUMMYFUNCTION("""COMPUTED_VALUE"""),0.48)</f>
        <v>0.48</v>
      </c>
      <c r="K202" s="1">
        <f>IFERROR(__xludf.DUMMYFUNCTION("""COMPUTED_VALUE"""),10)</f>
        <v>10</v>
      </c>
      <c r="L202" s="1" t="str">
        <f>IFERROR(__xludf.DUMMYFUNCTION("""COMPUTED_VALUE"""),"Yes")</f>
        <v>Yes</v>
      </c>
      <c r="M202" s="1" t="str">
        <f>IFERROR(__xludf.DUMMYFUNCTION("""COMPUTED_VALUE"""),"Yes")</f>
        <v>Yes</v>
      </c>
      <c r="N202" s="1" t="str">
        <f>IFERROR(__xludf.DUMMYFUNCTION("""COMPUTED_VALUE"""),"United States of America")</f>
        <v>United States of America</v>
      </c>
      <c r="O202" s="1" t="str">
        <f>IFERROR(__xludf.DUMMYFUNCTION("""COMPUTED_VALUE"""),"New York")</f>
        <v>New York</v>
      </c>
      <c r="P202" s="1" t="str">
        <f>IFERROR(__xludf.DUMMYFUNCTION("""COMPUTED_VALUE"""),"South Africa")</f>
        <v>South Africa</v>
      </c>
      <c r="Q202" s="1" t="str">
        <f>IFERROR(__xludf.DUMMYFUNCTION("""COMPUTED_VALUE"""),"Durban")</f>
        <v>Durban</v>
      </c>
      <c r="R202" s="1" t="str">
        <f>IFERROR(__xludf.DUMMYFUNCTION("""COMPUTED_VALUE"""),"Air")</f>
        <v>Air</v>
      </c>
      <c r="S202" s="1" t="str">
        <f>IFERROR(__xludf.DUMMYFUNCTION("""COMPUTED_VALUE"""),"EXW")</f>
        <v>EXW</v>
      </c>
      <c r="T202" s="1" t="str">
        <f>IFERROR(__xludf.DUMMYFUNCTION("""COMPUTED_VALUE"""),"Asia Direct")</f>
        <v>Asia Direct</v>
      </c>
      <c r="U202" s="1"/>
      <c r="V202" s="1"/>
      <c r="W202" s="1"/>
      <c r="X202" s="1"/>
      <c r="Y202" s="1"/>
    </row>
    <row r="203" customHeight="1" spans="1:25">
      <c r="A203" s="1" t="str">
        <f>IFERROR(__xludf.DUMMYFUNCTION("""COMPUTED_VALUE"""),"O94EbIxXU0mRu9DOHsSGUT")</f>
        <v>O94EbIxXU0mRu9DOHsSGUT</v>
      </c>
      <c r="B203" s="1">
        <f>IFERROR(__xludf.DUMMYFUNCTION("""COMPUTED_VALUE"""),814)</f>
        <v>814</v>
      </c>
      <c r="C203" s="1" t="str">
        <f>IFERROR(__xludf.DUMMYFUNCTION("""COMPUTED_VALUE"""),"DL203")</f>
        <v>DL203</v>
      </c>
      <c r="D203" s="2">
        <f>IFERROR(__xludf.DUMMYFUNCTION("""COMPUTED_VALUE"""),45488)</f>
        <v>45488</v>
      </c>
      <c r="E203" s="1" t="str">
        <f>IFERROR(__xludf.DUMMYFUNCTION("""COMPUTED_VALUE"""),"TOP TECH CATERING")</f>
        <v>TOP TECH CATERING</v>
      </c>
      <c r="F203" s="1">
        <f>IFERROR(__xludf.DUMMYFUNCTION("""COMPUTED_VALUE"""),82)</f>
        <v>82</v>
      </c>
      <c r="G203" s="1" t="str">
        <f>IFERROR(__xludf.DUMMYFUNCTION("""COMPUTED_VALUE"""),"Catering Equipment")</f>
        <v>Catering Equipment</v>
      </c>
      <c r="H203" s="1">
        <f>IFERROR(__xludf.DUMMYFUNCTION("""COMPUTED_VALUE"""),1)</f>
        <v>1</v>
      </c>
      <c r="I203" s="1"/>
      <c r="J203" s="1">
        <f>IFERROR(__xludf.DUMMYFUNCTION("""COMPUTED_VALUE"""),68)</f>
        <v>68</v>
      </c>
      <c r="K203" s="1">
        <f>IFERROR(__xludf.DUMMYFUNCTION("""COMPUTED_VALUE"""),9000)</f>
        <v>9000</v>
      </c>
      <c r="L203" s="1" t="str">
        <f>IFERROR(__xludf.DUMMYFUNCTION("""COMPUTED_VALUE"""),"Yes")</f>
        <v>Yes</v>
      </c>
      <c r="M203" s="1" t="str">
        <f>IFERROR(__xludf.DUMMYFUNCTION("""COMPUTED_VALUE"""),"Yes")</f>
        <v>Yes</v>
      </c>
      <c r="N203" s="1"/>
      <c r="O203" s="1"/>
      <c r="P203" s="1"/>
      <c r="Q203" s="1"/>
      <c r="R203" s="1" t="str">
        <f>IFERROR(__xludf.DUMMYFUNCTION("""COMPUTED_VALUE"""),"Sea")</f>
        <v>Sea</v>
      </c>
      <c r="S203" s="1" t="str">
        <f>IFERROR(__xludf.DUMMYFUNCTION("""COMPUTED_VALUE"""),"EXW")</f>
        <v>EXW</v>
      </c>
      <c r="T203" s="1"/>
      <c r="U203" s="1"/>
      <c r="V203" s="1"/>
      <c r="W203" s="1"/>
      <c r="X203" s="1"/>
      <c r="Y203" s="1"/>
    </row>
    <row r="204" customHeight="1" spans="1:25">
      <c r="A204" s="1" t="str">
        <f>IFERROR(__xludf.DUMMYFUNCTION("""COMPUTED_VALUE"""),"lxG8gkO378EjPgCn5hnc4r")</f>
        <v>lxG8gkO378EjPgCn5hnc4r</v>
      </c>
      <c r="B204" s="1">
        <f>IFERROR(__xludf.DUMMYFUNCTION("""COMPUTED_VALUE"""),813)</f>
        <v>813</v>
      </c>
      <c r="C204" s="1" t="str">
        <f>IFERROR(__xludf.DUMMYFUNCTION("""COMPUTED_VALUE"""),"DL204")</f>
        <v>DL204</v>
      </c>
      <c r="D204" s="2">
        <f>IFERROR(__xludf.DUMMYFUNCTION("""COMPUTED_VALUE"""),45488)</f>
        <v>45488</v>
      </c>
      <c r="E204" s="1" t="str">
        <f>IFERROR(__xludf.DUMMYFUNCTION("""COMPUTED_VALUE"""),"TOP TECH CATERING")</f>
        <v>TOP TECH CATERING</v>
      </c>
      <c r="F204" s="1">
        <f>IFERROR(__xludf.DUMMYFUNCTION("""COMPUTED_VALUE"""),82)</f>
        <v>82</v>
      </c>
      <c r="G204" s="1" t="str">
        <f>IFERROR(__xludf.DUMMYFUNCTION("""COMPUTED_VALUE"""),"Catering Equipment")</f>
        <v>Catering Equipment</v>
      </c>
      <c r="H204" s="1">
        <f>IFERROR(__xludf.DUMMYFUNCTION("""COMPUTED_VALUE"""),1)</f>
        <v>1</v>
      </c>
      <c r="I204" s="1"/>
      <c r="J204" s="1">
        <f>IFERROR(__xludf.DUMMYFUNCTION("""COMPUTED_VALUE"""),67)</f>
        <v>67</v>
      </c>
      <c r="K204" s="1">
        <f>IFERROR(__xludf.DUMMYFUNCTION("""COMPUTED_VALUE"""),1100)</f>
        <v>1100</v>
      </c>
      <c r="L204" s="1" t="str">
        <f>IFERROR(__xludf.DUMMYFUNCTION("""COMPUTED_VALUE"""),"Yes")</f>
        <v>Yes</v>
      </c>
      <c r="M204" s="1" t="str">
        <f>IFERROR(__xludf.DUMMYFUNCTION("""COMPUTED_VALUE"""),"Yes")</f>
        <v>Yes</v>
      </c>
      <c r="N204" s="1"/>
      <c r="O204" s="1"/>
      <c r="P204" s="1"/>
      <c r="Q204" s="1"/>
      <c r="R204" s="1" t="str">
        <f>IFERROR(__xludf.DUMMYFUNCTION("""COMPUTED_VALUE"""),"Sea")</f>
        <v>Sea</v>
      </c>
      <c r="S204" s="1" t="str">
        <f>IFERROR(__xludf.DUMMYFUNCTION("""COMPUTED_VALUE"""),"EXW")</f>
        <v>EXW</v>
      </c>
      <c r="T204" s="1"/>
      <c r="U204" s="1"/>
      <c r="V204" s="1"/>
      <c r="W204" s="1"/>
      <c r="X204" s="1"/>
      <c r="Y204" s="1"/>
    </row>
    <row r="205" customHeight="1" spans="1:25">
      <c r="A205" s="1" t="str">
        <f>IFERROR(__xludf.DUMMYFUNCTION("""COMPUTED_VALUE"""),"7mGkqzOJDUd56bPVyW3dAL")</f>
        <v>7mGkqzOJDUd56bPVyW3dAL</v>
      </c>
      <c r="B205" s="1">
        <f>IFERROR(__xludf.DUMMYFUNCTION("""COMPUTED_VALUE"""),817)</f>
        <v>817</v>
      </c>
      <c r="C205" s="1" t="str">
        <f>IFERROR(__xludf.DUMMYFUNCTION("""COMPUTED_VALUE"""),"DL205")</f>
        <v>DL205</v>
      </c>
      <c r="D205" s="2">
        <f>IFERROR(__xludf.DUMMYFUNCTION("""COMPUTED_VALUE"""),45489)</f>
        <v>45489</v>
      </c>
      <c r="E205" s="1" t="str">
        <f>IFERROR(__xludf.DUMMYFUNCTION("""COMPUTED_VALUE"""),"Kurt")</f>
        <v>Kurt</v>
      </c>
      <c r="F205" s="1">
        <f>IFERROR(__xludf.DUMMYFUNCTION("""COMPUTED_VALUE"""),597)</f>
        <v>597</v>
      </c>
      <c r="G205" s="1" t="str">
        <f>IFERROR(__xludf.DUMMYFUNCTION("""COMPUTED_VALUE"""),"Lace Trim")</f>
        <v>Lace Trim</v>
      </c>
      <c r="H205" s="1">
        <f>IFERROR(__xludf.DUMMYFUNCTION("""COMPUTED_VALUE"""),1)</f>
        <v>1</v>
      </c>
      <c r="I205" s="1"/>
      <c r="J205" s="1">
        <f>IFERROR(__xludf.DUMMYFUNCTION("""COMPUTED_VALUE"""),0.2)</f>
        <v>0.2</v>
      </c>
      <c r="K205" s="1">
        <f>IFERROR(__xludf.DUMMYFUNCTION("""COMPUTED_VALUE"""),15.5)</f>
        <v>15.5</v>
      </c>
      <c r="L205" s="1" t="str">
        <f>IFERROR(__xludf.DUMMYFUNCTION("""COMPUTED_VALUE"""),"Yes")</f>
        <v>Yes</v>
      </c>
      <c r="M205" s="1" t="str">
        <f>IFERROR(__xludf.DUMMYFUNCTION("""COMPUTED_VALUE"""),"Yes")</f>
        <v>Yes</v>
      </c>
      <c r="N205" s="1"/>
      <c r="O205" s="1"/>
      <c r="P205" s="1"/>
      <c r="Q205" s="1"/>
      <c r="R205" s="1" t="str">
        <f>IFERROR(__xludf.DUMMYFUNCTION("""COMPUTED_VALUE"""),"Air")</f>
        <v>Air</v>
      </c>
      <c r="S205" s="1" t="str">
        <f>IFERROR(__xludf.DUMMYFUNCTION("""COMPUTED_VALUE"""),"FCA")</f>
        <v>FCA</v>
      </c>
      <c r="T205" s="1"/>
      <c r="U205" s="1"/>
      <c r="V205" s="1"/>
      <c r="W205" s="1"/>
      <c r="X205" s="1"/>
      <c r="Y205" s="1"/>
    </row>
    <row r="206" customHeight="1" spans="1:25">
      <c r="A206" s="1" t="str">
        <f>IFERROR(__xludf.DUMMYFUNCTION("""COMPUTED_VALUE"""),"2umJXcIqMZrW2lBsf83i6n")</f>
        <v>2umJXcIqMZrW2lBsf83i6n</v>
      </c>
      <c r="B206" s="1">
        <f>IFERROR(__xludf.DUMMYFUNCTION("""COMPUTED_VALUE"""),779)</f>
        <v>779</v>
      </c>
      <c r="C206" s="1" t="str">
        <f>IFERROR(__xludf.DUMMYFUNCTION("""COMPUTED_VALUE"""),"DL206")</f>
        <v>DL206</v>
      </c>
      <c r="D206" s="2">
        <f>IFERROR(__xludf.DUMMYFUNCTION("""COMPUTED_VALUE"""),45470)</f>
        <v>45470</v>
      </c>
      <c r="E206" s="1" t="str">
        <f>IFERROR(__xludf.DUMMYFUNCTION("""COMPUTED_VALUE"""),"Essop")</f>
        <v>Essop</v>
      </c>
      <c r="F206" s="1">
        <f>IFERROR(__xludf.DUMMYFUNCTION("""COMPUTED_VALUE"""),548)</f>
        <v>548</v>
      </c>
      <c r="G206" s="1" t="str">
        <f>IFERROR(__xludf.DUMMYFUNCTION("""COMPUTED_VALUE"""),"Car Bumber and Spoiler")</f>
        <v>Car Bumber and Spoiler</v>
      </c>
      <c r="H206" s="1">
        <f>IFERROR(__xludf.DUMMYFUNCTION("""COMPUTED_VALUE"""),26)</f>
        <v>26</v>
      </c>
      <c r="I206" s="1"/>
      <c r="J206" s="1">
        <f>IFERROR(__xludf.DUMMYFUNCTION("""COMPUTED_VALUE"""),2.16)</f>
        <v>2.16</v>
      </c>
      <c r="K206" s="1">
        <f>IFERROR(__xludf.DUMMYFUNCTION("""COMPUTED_VALUE"""),286.8)</f>
        <v>286.8</v>
      </c>
      <c r="L206" s="1" t="str">
        <f>IFERROR(__xludf.DUMMYFUNCTION("""COMPUTED_VALUE"""),"Yes")</f>
        <v>Yes</v>
      </c>
      <c r="M206" s="1" t="str">
        <f>IFERROR(__xludf.DUMMYFUNCTION("""COMPUTED_VALUE"""),"Yes")</f>
        <v>Yes</v>
      </c>
      <c r="N206" s="1"/>
      <c r="O206" s="1"/>
      <c r="P206" s="1"/>
      <c r="Q206" s="1"/>
      <c r="R206" s="1" t="str">
        <f>IFERROR(__xludf.DUMMYFUNCTION("""COMPUTED_VALUE"""),"Sea")</f>
        <v>Sea</v>
      </c>
      <c r="S206" s="1" t="str">
        <f>IFERROR(__xludf.DUMMYFUNCTION("""COMPUTED_VALUE"""),"FCA")</f>
        <v>FCA</v>
      </c>
      <c r="T206" s="1"/>
      <c r="U206" s="1"/>
      <c r="V206" s="1"/>
      <c r="W206" s="1"/>
      <c r="X206" s="1"/>
      <c r="Y206" s="1"/>
    </row>
    <row r="207" customHeight="1" spans="1:25">
      <c r="A207" s="1" t="str">
        <f>IFERROR(__xludf.DUMMYFUNCTION("""COMPUTED_VALUE"""),"VIOEP1dyUgSpNTTen9dWnv")</f>
        <v>VIOEP1dyUgSpNTTen9dWnv</v>
      </c>
      <c r="B207" s="1">
        <f>IFERROR(__xludf.DUMMYFUNCTION("""COMPUTED_VALUE"""),804)</f>
        <v>804</v>
      </c>
      <c r="C207" s="1" t="str">
        <f>IFERROR(__xludf.DUMMYFUNCTION("""COMPUTED_VALUE"""),"DL207")</f>
        <v>DL207</v>
      </c>
      <c r="D207" s="2">
        <f>IFERROR(__xludf.DUMMYFUNCTION("""COMPUTED_VALUE"""),45485)</f>
        <v>45485</v>
      </c>
      <c r="E207" s="1" t="str">
        <f>IFERROR(__xludf.DUMMYFUNCTION("""COMPUTED_VALUE"""),"Karl Bulow")</f>
        <v>Karl Bulow</v>
      </c>
      <c r="F207" s="1">
        <f>IFERROR(__xludf.DUMMYFUNCTION("""COMPUTED_VALUE"""),227)</f>
        <v>227</v>
      </c>
      <c r="G207" s="1" t="str">
        <f>IFERROR(__xludf.DUMMYFUNCTION("""COMPUTED_VALUE"""),"Clothes")</f>
        <v>Clothes</v>
      </c>
      <c r="H207" s="1">
        <f>IFERROR(__xludf.DUMMYFUNCTION("""COMPUTED_VALUE"""),1)</f>
        <v>1</v>
      </c>
      <c r="I207" s="1"/>
      <c r="J207" s="1">
        <f>IFERROR(__xludf.DUMMYFUNCTION("""COMPUTED_VALUE"""),0.48)</f>
        <v>0.48</v>
      </c>
      <c r="K207" s="1">
        <f>IFERROR(__xludf.DUMMYFUNCTION("""COMPUTED_VALUE"""),10)</f>
        <v>10</v>
      </c>
      <c r="L207" s="1" t="str">
        <f>IFERROR(__xludf.DUMMYFUNCTION("""COMPUTED_VALUE"""),"Yes")</f>
        <v>Yes</v>
      </c>
      <c r="M207" s="1" t="str">
        <f>IFERROR(__xludf.DUMMYFUNCTION("""COMPUTED_VALUE"""),"Yes")</f>
        <v>Yes</v>
      </c>
      <c r="N207" s="1" t="str">
        <f>IFERROR(__xludf.DUMMYFUNCTION("""COMPUTED_VALUE"""),"USA")</f>
        <v>USA</v>
      </c>
      <c r="O207" s="1" t="str">
        <f>IFERROR(__xludf.DUMMYFUNCTION("""COMPUTED_VALUE"""),"NEW YORK CITY")</f>
        <v>NEW YORK CITY</v>
      </c>
      <c r="P207" s="1" t="str">
        <f>IFERROR(__xludf.DUMMYFUNCTION("""COMPUTED_VALUE"""),"SOUTH AFRICA")</f>
        <v>SOUTH AFRICA</v>
      </c>
      <c r="Q207" s="1" t="str">
        <f>IFERROR(__xludf.DUMMYFUNCTION("""COMPUTED_VALUE"""),"DURBAN")</f>
        <v>DURBAN</v>
      </c>
      <c r="R207" s="1" t="str">
        <f>IFERROR(__xludf.DUMMYFUNCTION("""COMPUTED_VALUE"""),"Air")</f>
        <v>Air</v>
      </c>
      <c r="S207" s="1" t="str">
        <f>IFERROR(__xludf.DUMMYFUNCTION("""COMPUTED_VALUE"""),"EXW")</f>
        <v>EXW</v>
      </c>
      <c r="T207" s="1"/>
      <c r="U207" s="1"/>
      <c r="V207" s="1"/>
      <c r="W207" s="1"/>
      <c r="X207" s="1"/>
      <c r="Y207" s="1"/>
    </row>
    <row r="208" customHeight="1" spans="1:25">
      <c r="A208" s="1" t="str">
        <f>IFERROR(__xludf.DUMMYFUNCTION("""COMPUTED_VALUE"""),"mKSp2V7xQVsJTtGohkAbhm")</f>
        <v>mKSp2V7xQVsJTtGohkAbhm</v>
      </c>
      <c r="B208" s="1">
        <f>IFERROR(__xludf.DUMMYFUNCTION("""COMPUTED_VALUE"""),699)</f>
        <v>699</v>
      </c>
      <c r="C208" s="1" t="str">
        <f>IFERROR(__xludf.DUMMYFUNCTION("""COMPUTED_VALUE"""),"DL208")</f>
        <v>DL208</v>
      </c>
      <c r="D208" s="2">
        <f>IFERROR(__xludf.DUMMYFUNCTION("""COMPUTED_VALUE"""),45439)</f>
        <v>45439</v>
      </c>
      <c r="E208" s="1" t="str">
        <f>IFERROR(__xludf.DUMMYFUNCTION("""COMPUTED_VALUE"""),"lezahn")</f>
        <v>lezahn</v>
      </c>
      <c r="F208" s="1">
        <f>IFERROR(__xludf.DUMMYFUNCTION("""COMPUTED_VALUE"""),118)</f>
        <v>118</v>
      </c>
      <c r="G208" s="1" t="str">
        <f>IFERROR(__xludf.DUMMYFUNCTION("""COMPUTED_VALUE"""),"Repair Waterproof Tape, Anti Slip Tape - Glow, and Butly Tape")</f>
        <v>Repair Waterproof Tape, Anti Slip Tape - Glow, and Butly Tape</v>
      </c>
      <c r="H208" s="1">
        <f>IFERROR(__xludf.DUMMYFUNCTION("""COMPUTED_VALUE"""),38)</f>
        <v>38</v>
      </c>
      <c r="I208" s="1"/>
      <c r="J208" s="1">
        <f>IFERROR(__xludf.DUMMYFUNCTION("""COMPUTED_VALUE"""),2.05)</f>
        <v>2.05</v>
      </c>
      <c r="K208" s="1">
        <f>IFERROR(__xludf.DUMMYFUNCTION("""COMPUTED_VALUE"""),566.5)</f>
        <v>566.5</v>
      </c>
      <c r="L208" s="1" t="str">
        <f>IFERROR(__xludf.DUMMYFUNCTION("""COMPUTED_VALUE"""),"Yes")</f>
        <v>Yes</v>
      </c>
      <c r="M208" s="1" t="str">
        <f>IFERROR(__xludf.DUMMYFUNCTION("""COMPUTED_VALUE"""),"Yes")</f>
        <v>Yes</v>
      </c>
      <c r="N208" s="1" t="str">
        <f>IFERROR(__xludf.DUMMYFUNCTION("""COMPUTED_VALUE"""),"China")</f>
        <v>China</v>
      </c>
      <c r="O208" s="1" t="str">
        <f>IFERROR(__xludf.DUMMYFUNCTION("""COMPUTED_VALUE"""),"Shenzhen")</f>
        <v>Shenzhen</v>
      </c>
      <c r="P208" s="1" t="str">
        <f>IFERROR(__xludf.DUMMYFUNCTION("""COMPUTED_VALUE"""),"South Africa")</f>
        <v>South Africa</v>
      </c>
      <c r="Q208" s="1" t="str">
        <f>IFERROR(__xludf.DUMMYFUNCTION("""COMPUTED_VALUE"""),"Cape Town")</f>
        <v>Cape Town</v>
      </c>
      <c r="R208" s="1" t="str">
        <f>IFERROR(__xludf.DUMMYFUNCTION("""COMPUTED_VALUE"""),"Sea")</f>
        <v>Sea</v>
      </c>
      <c r="S208" s="1" t="str">
        <f>IFERROR(__xludf.DUMMYFUNCTION("""COMPUTED_VALUE"""),"EXW")</f>
        <v>EXW</v>
      </c>
      <c r="T208" s="1"/>
      <c r="U208" s="1" t="str">
        <f>IFERROR(__xludf.DUMMYFUNCTION("""COMPUTED_VALUE"""),"Shenzhen")</f>
        <v>Shenzhen</v>
      </c>
      <c r="V208" s="1"/>
      <c r="W208" s="1"/>
      <c r="X208" s="1"/>
      <c r="Y208" s="1"/>
    </row>
    <row r="209" customHeight="1" spans="1:25">
      <c r="A209" s="1" t="str">
        <f>IFERROR(__xludf.DUMMYFUNCTION("""COMPUTED_VALUE"""),"Cboxn755vEI1FiLkbjr6Cy")</f>
        <v>Cboxn755vEI1FiLkbjr6Cy</v>
      </c>
      <c r="B209" s="1">
        <f>IFERROR(__xludf.DUMMYFUNCTION("""COMPUTED_VALUE"""),521)</f>
        <v>521</v>
      </c>
      <c r="C209" s="1" t="str">
        <f>IFERROR(__xludf.DUMMYFUNCTION("""COMPUTED_VALUE"""),"DL209")</f>
        <v>DL209</v>
      </c>
      <c r="D209" s="2">
        <f>IFERROR(__xludf.DUMMYFUNCTION("""COMPUTED_VALUE"""),45344)</f>
        <v>45344</v>
      </c>
      <c r="E209" s="1" t="str">
        <f>IFERROR(__xludf.DUMMYFUNCTION("""COMPUTED_VALUE"""),"Geleza Tech")</f>
        <v>Geleza Tech</v>
      </c>
      <c r="F209" s="1">
        <f>IFERROR(__xludf.DUMMYFUNCTION("""COMPUTED_VALUE"""),159)</f>
        <v>159</v>
      </c>
      <c r="G209" s="1" t="str">
        <f>IFERROR(__xludf.DUMMYFUNCTION("""COMPUTED_VALUE"""),"Calculators")</f>
        <v>Calculators</v>
      </c>
      <c r="H209" s="1">
        <f>IFERROR(__xludf.DUMMYFUNCTION("""COMPUTED_VALUE"""),56)</f>
        <v>56</v>
      </c>
      <c r="I209" s="1"/>
      <c r="J209" s="1">
        <f>IFERROR(__xludf.DUMMYFUNCTION("""COMPUTED_VALUE"""),0.35)</f>
        <v>0.35</v>
      </c>
      <c r="K209" s="1">
        <f>IFERROR(__xludf.DUMMYFUNCTION("""COMPUTED_VALUE"""),10)</f>
        <v>10</v>
      </c>
      <c r="L209" s="1" t="str">
        <f>IFERROR(__xludf.DUMMYFUNCTION("""COMPUTED_VALUE"""),"Yes")</f>
        <v>Yes</v>
      </c>
      <c r="M209" s="1" t="str">
        <f>IFERROR(__xludf.DUMMYFUNCTION("""COMPUTED_VALUE"""),"Yes")</f>
        <v>Yes</v>
      </c>
      <c r="N209" s="1"/>
      <c r="O209" s="1"/>
      <c r="P209" s="1"/>
      <c r="Q209" s="1"/>
      <c r="R209" s="1" t="str">
        <f>IFERROR(__xludf.DUMMYFUNCTION("""COMPUTED_VALUE"""),"Sea")</f>
        <v>Sea</v>
      </c>
      <c r="S209" s="1" t="str">
        <f>IFERROR(__xludf.DUMMYFUNCTION("""COMPUTED_VALUE"""),"FCA")</f>
        <v>FCA</v>
      </c>
      <c r="T209" s="1"/>
      <c r="U209" s="1"/>
      <c r="V209" s="1"/>
      <c r="W209" s="1"/>
      <c r="X209" s="1"/>
      <c r="Y209" s="1"/>
    </row>
    <row r="210" customHeight="1" spans="1:25">
      <c r="A210" s="1" t="str">
        <f>IFERROR(__xludf.DUMMYFUNCTION("""COMPUTED_VALUE"""),"qAUGAnze0kzMY8xflY5qaY")</f>
        <v>qAUGAnze0kzMY8xflY5qaY</v>
      </c>
      <c r="B210" s="1">
        <f>IFERROR(__xludf.DUMMYFUNCTION("""COMPUTED_VALUE"""),735)</f>
        <v>735</v>
      </c>
      <c r="C210" s="1" t="str">
        <f>IFERROR(__xludf.DUMMYFUNCTION("""COMPUTED_VALUE"""),"DL210")</f>
        <v>DL210</v>
      </c>
      <c r="D210" s="2">
        <f>IFERROR(__xludf.DUMMYFUNCTION("""COMPUTED_VALUE"""),45456)</f>
        <v>45456</v>
      </c>
      <c r="E210" s="1" t="str">
        <f>IFERROR(__xludf.DUMMYFUNCTION("""COMPUTED_VALUE"""),"Additive Manufacturing Solutions")</f>
        <v>Additive Manufacturing Solutions</v>
      </c>
      <c r="F210" s="1">
        <f>IFERROR(__xludf.DUMMYFUNCTION("""COMPUTED_VALUE"""),125)</f>
        <v>125</v>
      </c>
      <c r="G210" s="1" t="str">
        <f>IFERROR(__xludf.DUMMYFUNCTION("""COMPUTED_VALUE"""),"Eryone Matte")</f>
        <v>Eryone Matte</v>
      </c>
      <c r="H210" s="1">
        <f>IFERROR(__xludf.DUMMYFUNCTION("""COMPUTED_VALUE"""),24)</f>
        <v>24</v>
      </c>
      <c r="I210" s="1"/>
      <c r="J210" s="1">
        <f>IFERROR(__xludf.DUMMYFUNCTION("""COMPUTED_VALUE"""),1.33)</f>
        <v>1.33</v>
      </c>
      <c r="K210" s="1">
        <f>IFERROR(__xludf.DUMMYFUNCTION("""COMPUTED_VALUE"""),389.5)</f>
        <v>389.5</v>
      </c>
      <c r="L210" s="1" t="str">
        <f>IFERROR(__xludf.DUMMYFUNCTION("""COMPUTED_VALUE"""),"Yes")</f>
        <v>Yes</v>
      </c>
      <c r="M210" s="1" t="str">
        <f>IFERROR(__xludf.DUMMYFUNCTION("""COMPUTED_VALUE"""),"Yes")</f>
        <v>Yes</v>
      </c>
      <c r="N210" s="1"/>
      <c r="O210" s="1"/>
      <c r="P210" s="1"/>
      <c r="Q210" s="1"/>
      <c r="R210" s="1" t="str">
        <f>IFERROR(__xludf.DUMMYFUNCTION("""COMPUTED_VALUE"""),"Sea")</f>
        <v>Sea</v>
      </c>
      <c r="S210" s="1" t="str">
        <f>IFERROR(__xludf.DUMMYFUNCTION("""COMPUTED_VALUE"""),"FCA")</f>
        <v>FCA</v>
      </c>
      <c r="T210" s="1"/>
      <c r="U210" s="1"/>
      <c r="V210" s="1"/>
      <c r="W210" s="1"/>
      <c r="X210" s="1"/>
      <c r="Y210" s="1"/>
    </row>
    <row r="211" customHeight="1" spans="1:25">
      <c r="A211" s="1" t="str">
        <f>IFERROR(__xludf.DUMMYFUNCTION("""COMPUTED_VALUE"""),"hI6TpleRMNgj7UxnOQleaq")</f>
        <v>hI6TpleRMNgj7UxnOQleaq</v>
      </c>
      <c r="B211" s="1">
        <f>IFERROR(__xludf.DUMMYFUNCTION("""COMPUTED_VALUE"""),656)</f>
        <v>656</v>
      </c>
      <c r="C211" s="1" t="str">
        <f>IFERROR(__xludf.DUMMYFUNCTION("""COMPUTED_VALUE"""),"DL211")</f>
        <v>DL211</v>
      </c>
      <c r="D211" s="2">
        <f>IFERROR(__xludf.DUMMYFUNCTION("""COMPUTED_VALUE"""),45415)</f>
        <v>45415</v>
      </c>
      <c r="E211" s="1" t="str">
        <f>IFERROR(__xludf.DUMMYFUNCTION("""COMPUTED_VALUE"""),"Stitched At Home Pty Ltd")</f>
        <v>Stitched At Home Pty Ltd</v>
      </c>
      <c r="F211" s="1">
        <f>IFERROR(__xludf.DUMMYFUNCTION("""COMPUTED_VALUE"""),480)</f>
        <v>480</v>
      </c>
      <c r="G211" s="1" t="str">
        <f>IFERROR(__xludf.DUMMYFUNCTION("""COMPUTED_VALUE"""),"Color Maching")</f>
        <v>Color Maching</v>
      </c>
      <c r="H211" s="1">
        <f>IFERROR(__xludf.DUMMYFUNCTION("""COMPUTED_VALUE"""),1)</f>
        <v>1</v>
      </c>
      <c r="I211" s="1"/>
      <c r="J211" s="1">
        <f>IFERROR(__xludf.DUMMYFUNCTION("""COMPUTED_VALUE"""),0.3)</f>
        <v>0.3</v>
      </c>
      <c r="K211" s="1">
        <f>IFERROR(__xludf.DUMMYFUNCTION("""COMPUTED_VALUE"""),21)</f>
        <v>21</v>
      </c>
      <c r="L211" s="1" t="str">
        <f>IFERROR(__xludf.DUMMYFUNCTION("""COMPUTED_VALUE"""),"Yes")</f>
        <v>Yes</v>
      </c>
      <c r="M211" s="1" t="str">
        <f>IFERROR(__xludf.DUMMYFUNCTION("""COMPUTED_VALUE"""),"Yes")</f>
        <v>Yes</v>
      </c>
      <c r="N211" s="1" t="str">
        <f>IFERROR(__xludf.DUMMYFUNCTION("""COMPUTED_VALUE"""),"China")</f>
        <v>China</v>
      </c>
      <c r="O211" s="1" t="str">
        <f>IFERROR(__xludf.DUMMYFUNCTION("""COMPUTED_VALUE"""),"Shenzhen")</f>
        <v>Shenzhen</v>
      </c>
      <c r="P211" s="1" t="str">
        <f>IFERROR(__xludf.DUMMYFUNCTION("""COMPUTED_VALUE"""),"South Africa")</f>
        <v>South Africa</v>
      </c>
      <c r="Q211" s="1" t="str">
        <f>IFERROR(__xludf.DUMMYFUNCTION("""COMPUTED_VALUE"""),"Johannesburg")</f>
        <v>Johannesburg</v>
      </c>
      <c r="R211" s="1" t="str">
        <f>IFERROR(__xludf.DUMMYFUNCTION("""COMPUTED_VALUE"""),"Sea")</f>
        <v>Sea</v>
      </c>
      <c r="S211" s="1" t="str">
        <f>IFERROR(__xludf.DUMMYFUNCTION("""COMPUTED_VALUE"""),"EXW")</f>
        <v>EXW</v>
      </c>
      <c r="T211" s="1"/>
      <c r="U211" s="1"/>
      <c r="V211" s="1"/>
      <c r="W211" s="1"/>
      <c r="X211" s="1"/>
      <c r="Y211" s="1"/>
    </row>
    <row r="212" customHeight="1" spans="1:25">
      <c r="A212" s="1" t="str">
        <f>IFERROR(__xludf.DUMMYFUNCTION("""COMPUTED_VALUE"""),"F1gxeb8RhMXufi3v6V8Gdu")</f>
        <v>F1gxeb8RhMXufi3v6V8Gdu</v>
      </c>
      <c r="B212" s="1">
        <f>IFERROR(__xludf.DUMMYFUNCTION("""COMPUTED_VALUE"""),748)</f>
        <v>748</v>
      </c>
      <c r="C212" s="1" t="str">
        <f>IFERROR(__xludf.DUMMYFUNCTION("""COMPUTED_VALUE"""),"DL212")</f>
        <v>DL212</v>
      </c>
      <c r="D212" s="2">
        <f>IFERROR(__xludf.DUMMYFUNCTION("""COMPUTED_VALUE"""),45462)</f>
        <v>45462</v>
      </c>
      <c r="E212" s="1" t="str">
        <f>IFERROR(__xludf.DUMMYFUNCTION("""COMPUTED_VALUE"""),"Motlatso")</f>
        <v>Motlatso</v>
      </c>
      <c r="F212" s="1">
        <f>IFERROR(__xludf.DUMMYFUNCTION("""COMPUTED_VALUE"""),539)</f>
        <v>539</v>
      </c>
      <c r="G212" s="1" t="str">
        <f>IFERROR(__xludf.DUMMYFUNCTION("""COMPUTED_VALUE"""),"Tags")</f>
        <v>Tags</v>
      </c>
      <c r="H212" s="1">
        <f>IFERROR(__xludf.DUMMYFUNCTION("""COMPUTED_VALUE"""),100)</f>
        <v>100</v>
      </c>
      <c r="I212" s="1"/>
      <c r="J212" s="1">
        <f>IFERROR(__xludf.DUMMYFUNCTION("""COMPUTED_VALUE"""),6.1)</f>
        <v>6.1</v>
      </c>
      <c r="K212" s="1">
        <f>IFERROR(__xludf.DUMMYFUNCTION("""COMPUTED_VALUE"""),736)</f>
        <v>736</v>
      </c>
      <c r="L212" s="1" t="str">
        <f>IFERROR(__xludf.DUMMYFUNCTION("""COMPUTED_VALUE"""),"Yes")</f>
        <v>Yes</v>
      </c>
      <c r="M212" s="1" t="str">
        <f>IFERROR(__xludf.DUMMYFUNCTION("""COMPUTED_VALUE"""),"Yes")</f>
        <v>Yes</v>
      </c>
      <c r="N212" s="1" t="str">
        <f>IFERROR(__xludf.DUMMYFUNCTION("""COMPUTED_VALUE"""),"China")</f>
        <v>China</v>
      </c>
      <c r="O212" s="1" t="str">
        <f>IFERROR(__xludf.DUMMYFUNCTION("""COMPUTED_VALUE"""),"Shenzhen")</f>
        <v>Shenzhen</v>
      </c>
      <c r="P212" s="1" t="str">
        <f>IFERROR(__xludf.DUMMYFUNCTION("""COMPUTED_VALUE"""),"South Africa")</f>
        <v>South Africa</v>
      </c>
      <c r="Q212" s="1" t="str">
        <f>IFERROR(__xludf.DUMMYFUNCTION("""COMPUTED_VALUE"""),"Johannesburg")</f>
        <v>Johannesburg</v>
      </c>
      <c r="R212" s="1" t="str">
        <f>IFERROR(__xludf.DUMMYFUNCTION("""COMPUTED_VALUE"""),"Sea")</f>
        <v>Sea</v>
      </c>
      <c r="S212" s="1" t="str">
        <f>IFERROR(__xludf.DUMMYFUNCTION("""COMPUTED_VALUE"""),"EXW")</f>
        <v>EXW</v>
      </c>
      <c r="T212" s="1"/>
      <c r="U212" s="1" t="str">
        <f>IFERROR(__xludf.DUMMYFUNCTION("""COMPUTED_VALUE"""),"Shenzhen")</f>
        <v>Shenzhen</v>
      </c>
      <c r="V212" s="1"/>
      <c r="W212" s="1"/>
      <c r="X212" s="1"/>
      <c r="Y212" s="1"/>
    </row>
    <row r="213" customHeight="1" spans="1:25">
      <c r="A213" s="1" t="str">
        <f>IFERROR(__xludf.DUMMYFUNCTION("""COMPUTED_VALUE"""),"WyZyRWodVhvgodehgN7pbC")</f>
        <v>WyZyRWodVhvgodehgN7pbC</v>
      </c>
      <c r="B213" s="1">
        <f>IFERROR(__xludf.DUMMYFUNCTION("""COMPUTED_VALUE"""),834)</f>
        <v>834</v>
      </c>
      <c r="C213" s="1" t="str">
        <f>IFERROR(__xludf.DUMMYFUNCTION("""COMPUTED_VALUE"""),"DL213")</f>
        <v>DL213</v>
      </c>
      <c r="D213" s="2">
        <f>IFERROR(__xludf.DUMMYFUNCTION("""COMPUTED_VALUE"""),45496)</f>
        <v>45496</v>
      </c>
      <c r="E213" s="1" t="str">
        <f>IFERROR(__xludf.DUMMYFUNCTION("""COMPUTED_VALUE"""),"VYKON (PTY) LTD")</f>
        <v>VYKON (PTY) LTD</v>
      </c>
      <c r="F213" s="1">
        <f>IFERROR(__xludf.DUMMYFUNCTION("""COMPUTED_VALUE"""),36)</f>
        <v>36</v>
      </c>
      <c r="G213" s="1" t="str">
        <f>IFERROR(__xludf.DUMMYFUNCTION("""COMPUTED_VALUE"""),"Steel Pipes")</f>
        <v>Steel Pipes</v>
      </c>
      <c r="H213" s="1">
        <f>IFERROR(__xludf.DUMMYFUNCTION("""COMPUTED_VALUE"""),1)</f>
        <v>1</v>
      </c>
      <c r="I213" s="1"/>
      <c r="J213" s="1">
        <f>IFERROR(__xludf.DUMMYFUNCTION("""COMPUTED_VALUE"""),0.58)</f>
        <v>0.58</v>
      </c>
      <c r="K213" s="1">
        <f>IFERROR(__xludf.DUMMYFUNCTION("""COMPUTED_VALUE"""),161)</f>
        <v>161</v>
      </c>
      <c r="L213" s="1" t="str">
        <f>IFERROR(__xludf.DUMMYFUNCTION("""COMPUTED_VALUE"""),"Yes")</f>
        <v>Yes</v>
      </c>
      <c r="M213" s="1" t="str">
        <f>IFERROR(__xludf.DUMMYFUNCTION("""COMPUTED_VALUE"""),"Yes")</f>
        <v>Yes</v>
      </c>
      <c r="N213" s="1" t="str">
        <f>IFERROR(__xludf.DUMMYFUNCTION("""COMPUTED_VALUE"""),"China")</f>
        <v>China</v>
      </c>
      <c r="O213" s="1" t="str">
        <f>IFERROR(__xludf.DUMMYFUNCTION("""COMPUTED_VALUE"""),"Shenzhen")</f>
        <v>Shenzhen</v>
      </c>
      <c r="P213" s="1" t="str">
        <f>IFERROR(__xludf.DUMMYFUNCTION("""COMPUTED_VALUE"""),"South Africa")</f>
        <v>South Africa</v>
      </c>
      <c r="Q213" s="1" t="str">
        <f>IFERROR(__xludf.DUMMYFUNCTION("""COMPUTED_VALUE"""),"Centurion")</f>
        <v>Centurion</v>
      </c>
      <c r="R213" s="1" t="str">
        <f>IFERROR(__xludf.DUMMYFUNCTION("""COMPUTED_VALUE"""),"Sea")</f>
        <v>Sea</v>
      </c>
      <c r="S213" s="1" t="str">
        <f>IFERROR(__xludf.DUMMYFUNCTION("""COMPUTED_VALUE"""),"FCA")</f>
        <v>FCA</v>
      </c>
      <c r="T213" s="1"/>
      <c r="U213" s="1" t="str">
        <f>IFERROR(__xludf.DUMMYFUNCTION("""COMPUTED_VALUE"""),"Shenzhen")</f>
        <v>Shenzhen</v>
      </c>
      <c r="V213" s="1"/>
      <c r="W213" s="1"/>
      <c r="X213" s="1"/>
      <c r="Y213" s="1"/>
    </row>
    <row r="214" customHeight="1" spans="1:25">
      <c r="A214" s="1" t="str">
        <f>IFERROR(__xludf.DUMMYFUNCTION("""COMPUTED_VALUE"""),"kRRBCpe8abYz9S9qUnyaHg")</f>
        <v>kRRBCpe8abYz9S9qUnyaHg</v>
      </c>
      <c r="B214" s="1">
        <f>IFERROR(__xludf.DUMMYFUNCTION("""COMPUTED_VALUE"""),837)</f>
        <v>837</v>
      </c>
      <c r="C214" s="1" t="str">
        <f>IFERROR(__xludf.DUMMYFUNCTION("""COMPUTED_VALUE"""),"DL214")</f>
        <v>DL214</v>
      </c>
      <c r="D214" s="2">
        <f>IFERROR(__xludf.DUMMYFUNCTION("""COMPUTED_VALUE"""),45497)</f>
        <v>45497</v>
      </c>
      <c r="E214" s="1" t="str">
        <f>IFERROR(__xludf.DUMMYFUNCTION("""COMPUTED_VALUE"""),"ASIA DIRECT")</f>
        <v>ASIA DIRECT</v>
      </c>
      <c r="F214" s="1">
        <f>IFERROR(__xludf.DUMMYFUNCTION("""COMPUTED_VALUE"""),615)</f>
        <v>615</v>
      </c>
      <c r="G214" s="1" t="str">
        <f>IFERROR(__xludf.DUMMYFUNCTION("""COMPUTED_VALUE"""),"Tshirts")</f>
        <v>Tshirts</v>
      </c>
      <c r="H214" s="1">
        <f>IFERROR(__xludf.DUMMYFUNCTION("""COMPUTED_VALUE"""),3)</f>
        <v>3</v>
      </c>
      <c r="I214" s="1"/>
      <c r="J214" s="1">
        <f>IFERROR(__xludf.DUMMYFUNCTION("""COMPUTED_VALUE"""),1.72)</f>
        <v>1.72</v>
      </c>
      <c r="K214" s="1">
        <f>IFERROR(__xludf.DUMMYFUNCTION("""COMPUTED_VALUE"""),422)</f>
        <v>422</v>
      </c>
      <c r="L214" s="1" t="str">
        <f>IFERROR(__xludf.DUMMYFUNCTION("""COMPUTED_VALUE"""),"Yes")</f>
        <v>Yes</v>
      </c>
      <c r="M214" s="1" t="str">
        <f>IFERROR(__xludf.DUMMYFUNCTION("""COMPUTED_VALUE"""),"Yes")</f>
        <v>Yes</v>
      </c>
      <c r="N214" s="1" t="str">
        <f>IFERROR(__xludf.DUMMYFUNCTION("""COMPUTED_VALUE"""),"china")</f>
        <v>china</v>
      </c>
      <c r="O214" s="1" t="str">
        <f>IFERROR(__xludf.DUMMYFUNCTION("""COMPUTED_VALUE"""),"Guangzhou")</f>
        <v>Guangzhou</v>
      </c>
      <c r="P214" s="1" t="str">
        <f>IFERROR(__xludf.DUMMYFUNCTION("""COMPUTED_VALUE"""),"South Africa")</f>
        <v>South Africa</v>
      </c>
      <c r="Q214" s="1" t="str">
        <f>IFERROR(__xludf.DUMMYFUNCTION("""COMPUTED_VALUE"""),"Johannesburg")</f>
        <v>Johannesburg</v>
      </c>
      <c r="R214" s="1" t="str">
        <f>IFERROR(__xludf.DUMMYFUNCTION("""COMPUTED_VALUE"""),"Air")</f>
        <v>Air</v>
      </c>
      <c r="S214" s="1" t="str">
        <f>IFERROR(__xludf.DUMMYFUNCTION("""COMPUTED_VALUE"""),"EXW")</f>
        <v>EXW</v>
      </c>
      <c r="T214" s="1" t="str">
        <f>IFERROR(__xludf.DUMMYFUNCTION("""COMPUTED_VALUE"""),"SHENZHEN NIMBUS")</f>
        <v>SHENZHEN NIMBUS</v>
      </c>
      <c r="U214" s="1" t="str">
        <f>IFERROR(__xludf.DUMMYFUNCTION("""COMPUTED_VALUE"""),"Yong Xiang Lu, Long Gang Qu, Shen Zhen Shi, Guang Dong Sheng, China")</f>
        <v>Yong Xiang Lu, Long Gang Qu, Shen Zhen Shi, Guang Dong Sheng, China</v>
      </c>
      <c r="V214" s="1"/>
      <c r="W214" s="1" t="str">
        <f>IFERROR(__xludf.DUMMYFUNCTION("""COMPUTED_VALUE"""),"008675589699684")</f>
        <v>008675589699684</v>
      </c>
      <c r="X214" s="1"/>
      <c r="Y214" s="1"/>
    </row>
    <row r="215" customHeight="1" spans="1:25">
      <c r="A215" s="1" t="str">
        <f>IFERROR(__xludf.DUMMYFUNCTION("""COMPUTED_VALUE"""),"tii41sQTpUluBOQsSKDLRR")</f>
        <v>tii41sQTpUluBOQsSKDLRR</v>
      </c>
      <c r="B215" s="1">
        <f>IFERROR(__xludf.DUMMYFUNCTION("""COMPUTED_VALUE"""),823)</f>
        <v>823</v>
      </c>
      <c r="C215" s="1" t="str">
        <f>IFERROR(__xludf.DUMMYFUNCTION("""COMPUTED_VALUE"""),"DL215")</f>
        <v>DL215</v>
      </c>
      <c r="D215" s="2">
        <f>IFERROR(__xludf.DUMMYFUNCTION("""COMPUTED_VALUE"""),45490)</f>
        <v>45490</v>
      </c>
      <c r="E215" s="1" t="str">
        <f>IFERROR(__xludf.DUMMYFUNCTION("""COMPUTED_VALUE"""),"Hydrafix")</f>
        <v>Hydrafix</v>
      </c>
      <c r="F215" s="1">
        <f>IFERROR(__xludf.DUMMYFUNCTION("""COMPUTED_VALUE"""),602)</f>
        <v>602</v>
      </c>
      <c r="G215" s="1" t="str">
        <f>IFERROR(__xludf.DUMMYFUNCTION("""COMPUTED_VALUE"""),"Hydraulic")</f>
        <v>Hydraulic</v>
      </c>
      <c r="H215" s="1">
        <f>IFERROR(__xludf.DUMMYFUNCTION("""COMPUTED_VALUE"""),1)</f>
        <v>1</v>
      </c>
      <c r="I215" s="1"/>
      <c r="J215" s="1">
        <f>IFERROR(__xludf.DUMMYFUNCTION("""COMPUTED_VALUE"""),0.18)</f>
        <v>0.18</v>
      </c>
      <c r="K215" s="1">
        <f>IFERROR(__xludf.DUMMYFUNCTION("""COMPUTED_VALUE"""),320)</f>
        <v>320</v>
      </c>
      <c r="L215" s="1" t="str">
        <f>IFERROR(__xludf.DUMMYFUNCTION("""COMPUTED_VALUE"""),"Yes")</f>
        <v>Yes</v>
      </c>
      <c r="M215" s="1" t="str">
        <f>IFERROR(__xludf.DUMMYFUNCTION("""COMPUTED_VALUE"""),"Yes")</f>
        <v>Yes</v>
      </c>
      <c r="N215" s="1" t="str">
        <f>IFERROR(__xludf.DUMMYFUNCTION("""COMPUTED_VALUE"""),"China")</f>
        <v>China</v>
      </c>
      <c r="O215" s="1" t="str">
        <f>IFERROR(__xludf.DUMMYFUNCTION("""COMPUTED_VALUE"""),"Shenzhen")</f>
        <v>Shenzhen</v>
      </c>
      <c r="P215" s="1" t="str">
        <f>IFERROR(__xludf.DUMMYFUNCTION("""COMPUTED_VALUE"""),"South Africa")</f>
        <v>South Africa</v>
      </c>
      <c r="Q215" s="1" t="str">
        <f>IFERROR(__xludf.DUMMYFUNCTION("""COMPUTED_VALUE"""),"Cape Town")</f>
        <v>Cape Town</v>
      </c>
      <c r="R215" s="1" t="str">
        <f>IFERROR(__xludf.DUMMYFUNCTION("""COMPUTED_VALUE"""),"Sea")</f>
        <v>Sea</v>
      </c>
      <c r="S215" s="1" t="str">
        <f>IFERROR(__xludf.DUMMYFUNCTION("""COMPUTED_VALUE"""),"EXW")</f>
        <v>EXW</v>
      </c>
      <c r="T215" s="1"/>
      <c r="U215" s="1" t="str">
        <f>IFERROR(__xludf.DUMMYFUNCTION("""COMPUTED_VALUE"""),"Shenzhen")</f>
        <v>Shenzhen</v>
      </c>
      <c r="V215" s="1"/>
      <c r="W215" s="1"/>
      <c r="X215" s="1"/>
      <c r="Y215" s="1"/>
    </row>
    <row r="216" customHeight="1" spans="1:25">
      <c r="A216" s="1" t="str">
        <f>IFERROR(__xludf.DUMMYFUNCTION("""COMPUTED_VALUE"""),"rVf4PXq0yaSJ9S8zRY9gyt")</f>
        <v>rVf4PXq0yaSJ9S8zRY9gyt</v>
      </c>
      <c r="B216" s="1">
        <f>IFERROR(__xludf.DUMMYFUNCTION("""COMPUTED_VALUE"""),840)</f>
        <v>840</v>
      </c>
      <c r="C216" s="1" t="str">
        <f>IFERROR(__xludf.DUMMYFUNCTION("""COMPUTED_VALUE"""),"DL216")</f>
        <v>DL216</v>
      </c>
      <c r="D216" s="2">
        <f>IFERROR(__xludf.DUMMYFUNCTION("""COMPUTED_VALUE"""),45498)</f>
        <v>45498</v>
      </c>
      <c r="E216" s="1" t="str">
        <f>IFERROR(__xludf.DUMMYFUNCTION("""COMPUTED_VALUE"""),"Fu Yu Import and Export")</f>
        <v>Fu Yu Import and Export</v>
      </c>
      <c r="F216" s="1">
        <f>IFERROR(__xludf.DUMMYFUNCTION("""COMPUTED_VALUE"""),461)</f>
        <v>461</v>
      </c>
      <c r="G216" s="1" t="str">
        <f>IFERROR(__xludf.DUMMYFUNCTION("""COMPUTED_VALUE"""),"shoes")</f>
        <v>shoes</v>
      </c>
      <c r="H216" s="1">
        <f>IFERROR(__xludf.DUMMYFUNCTION("""COMPUTED_VALUE"""),1441)</f>
        <v>1441</v>
      </c>
      <c r="I216" s="1"/>
      <c r="J216" s="1">
        <f>IFERROR(__xludf.DUMMYFUNCTION("""COMPUTED_VALUE"""),68)</f>
        <v>68</v>
      </c>
      <c r="K216" s="1">
        <f>IFERROR(__xludf.DUMMYFUNCTION("""COMPUTED_VALUE"""),7100)</f>
        <v>7100</v>
      </c>
      <c r="L216" s="1" t="str">
        <f>IFERROR(__xludf.DUMMYFUNCTION("""COMPUTED_VALUE"""),"Yes")</f>
        <v>Yes</v>
      </c>
      <c r="M216" s="1" t="str">
        <f>IFERROR(__xludf.DUMMYFUNCTION("""COMPUTED_VALUE"""),"Yes")</f>
        <v>Yes</v>
      </c>
      <c r="N216" s="1" t="str">
        <f>IFERROR(__xludf.DUMMYFUNCTION("""COMPUTED_VALUE"""),"CHINA")</f>
        <v>CHINA</v>
      </c>
      <c r="O216" s="1" t="str">
        <f>IFERROR(__xludf.DUMMYFUNCTION("""COMPUTED_VALUE"""),"SHENNAN EAST ROAD,")</f>
        <v>SHENNAN EAST ROAD,</v>
      </c>
      <c r="P216" s="1" t="str">
        <f>IFERROR(__xludf.DUMMYFUNCTION("""COMPUTED_VALUE"""),"SOUTH AFRICA")</f>
        <v>SOUTH AFRICA</v>
      </c>
      <c r="Q216" s="1" t="str">
        <f>IFERROR(__xludf.DUMMYFUNCTION("""COMPUTED_VALUE"""),"JOHANNESBURG")</f>
        <v>JOHANNESBURG</v>
      </c>
      <c r="R216" s="1" t="str">
        <f>IFERROR(__xludf.DUMMYFUNCTION("""COMPUTED_VALUE"""),"Sea")</f>
        <v>Sea</v>
      </c>
      <c r="S216" s="1" t="str">
        <f>IFERROR(__xludf.DUMMYFUNCTION("""COMPUTED_VALUE"""),"FOB")</f>
        <v>FOB</v>
      </c>
      <c r="T216" s="1" t="str">
        <f>IFERROR(__xludf.DUMMYFUNCTION("""COMPUTED_VALUE"""),"SHENZHEN GUANGYULONG TRADE CO., LTD")</f>
        <v>SHENZHEN GUANGYULONG TRADE CO., LTD</v>
      </c>
      <c r="U216" s="1" t="str">
        <f>IFERROR(__xludf.DUMMYFUNCTION("""COMPUTED_VALUE"""),"C-8B, FULIGE, HAIFU GARDEN, SHENNAN EAST ROAD, HUANGBEISTREET LUOHU DISTRICT")</f>
        <v>C-8B, FULIGE, HAIFU GARDEN, SHENNAN EAST ROAD, HUANGBEISTREET LUOHU DISTRICT</v>
      </c>
      <c r="V216" s="1"/>
      <c r="W216" s="1"/>
      <c r="X216" s="1"/>
      <c r="Y216" s="1"/>
    </row>
    <row r="217" customHeight="1" spans="1:25">
      <c r="A217" s="1" t="str">
        <f>IFERROR(__xludf.DUMMYFUNCTION("""COMPUTED_VALUE"""),"ONu4vnSo5TKcT2pYNVCno8")</f>
        <v>ONu4vnSo5TKcT2pYNVCno8</v>
      </c>
      <c r="B217" s="1">
        <f>IFERROR(__xludf.DUMMYFUNCTION("""COMPUTED_VALUE"""),792)</f>
        <v>792</v>
      </c>
      <c r="C217" s="1" t="str">
        <f>IFERROR(__xludf.DUMMYFUNCTION("""COMPUTED_VALUE"""),"DL217")</f>
        <v>DL217</v>
      </c>
      <c r="D217" s="2">
        <f>IFERROR(__xludf.DUMMYFUNCTION("""COMPUTED_VALUE"""),45482)</f>
        <v>45482</v>
      </c>
      <c r="E217" s="1" t="str">
        <f>IFERROR(__xludf.DUMMYFUNCTION("""COMPUTED_VALUE"""),"Graham Scott")</f>
        <v>Graham Scott</v>
      </c>
      <c r="F217" s="1">
        <f>IFERROR(__xludf.DUMMYFUNCTION("""COMPUTED_VALUE"""),579)</f>
        <v>579</v>
      </c>
      <c r="G217" s="1" t="str">
        <f>IFERROR(__xludf.DUMMYFUNCTION("""COMPUTED_VALUE"""),"Automotive A/C components.")</f>
        <v>Automotive A/C components.</v>
      </c>
      <c r="H217" s="1">
        <f>IFERROR(__xludf.DUMMYFUNCTION("""COMPUTED_VALUE"""),1)</f>
        <v>1</v>
      </c>
      <c r="I217" s="1"/>
      <c r="J217" s="1">
        <f>IFERROR(__xludf.DUMMYFUNCTION("""COMPUTED_VALUE"""),0.1)</f>
        <v>0.1</v>
      </c>
      <c r="K217" s="1">
        <f>IFERROR(__xludf.DUMMYFUNCTION("""COMPUTED_VALUE"""),37)</f>
        <v>37</v>
      </c>
      <c r="L217" s="1" t="str">
        <f>IFERROR(__xludf.DUMMYFUNCTION("""COMPUTED_VALUE"""),"Yes")</f>
        <v>Yes</v>
      </c>
      <c r="M217" s="1" t="str">
        <f>IFERROR(__xludf.DUMMYFUNCTION("""COMPUTED_VALUE"""),"Yes")</f>
        <v>Yes</v>
      </c>
      <c r="N217" s="1" t="str">
        <f>IFERROR(__xludf.DUMMYFUNCTION("""COMPUTED_VALUE"""),"China")</f>
        <v>China</v>
      </c>
      <c r="O217" s="1" t="str">
        <f>IFERROR(__xludf.DUMMYFUNCTION("""COMPUTED_VALUE"""),"Shenzhen")</f>
        <v>Shenzhen</v>
      </c>
      <c r="P217" s="1" t="str">
        <f>IFERROR(__xludf.DUMMYFUNCTION("""COMPUTED_VALUE"""),"South Africa")</f>
        <v>South Africa</v>
      </c>
      <c r="Q217" s="1" t="str">
        <f>IFERROR(__xludf.DUMMYFUNCTION("""COMPUTED_VALUE"""),"Johannesburg")</f>
        <v>Johannesburg</v>
      </c>
      <c r="R217" s="1" t="str">
        <f>IFERROR(__xludf.DUMMYFUNCTION("""COMPUTED_VALUE"""),"Sea")</f>
        <v>Sea</v>
      </c>
      <c r="S217" s="1" t="str">
        <f>IFERROR(__xludf.DUMMYFUNCTION("""COMPUTED_VALUE"""),"FOB")</f>
        <v>FOB</v>
      </c>
      <c r="T217" s="1"/>
      <c r="U217" s="1" t="str">
        <f>IFERROR(__xludf.DUMMYFUNCTION("""COMPUTED_VALUE"""),"Shenzhen, Guangdong Province, China")</f>
        <v>Shenzhen, Guangdong Province, China</v>
      </c>
      <c r="V217" s="1"/>
      <c r="W217" s="1"/>
      <c r="X217" s="1"/>
      <c r="Y217" s="1"/>
    </row>
    <row r="218" customHeight="1" spans="1: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customHeight="1" spans="1: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customHeight="1" spans="1: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customHeight="1" spans="1: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customHeight="1" spans="1: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customHeight="1" spans="1: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customHeight="1" spans="1: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customHeight="1" spans="1: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customHeight="1" spans="1: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customHeight="1" spans="1: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customHeight="1" spans="1: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customHeight="1" spans="1: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customHeight="1" spans="1: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customHeight="1" spans="1: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customHeight="1" spans="1: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customHeight="1" spans="1: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customHeight="1" spans="1: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customHeight="1" spans="1: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customHeight="1" spans="1: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customHeight="1" spans="1: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customHeight="1" spans="1: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customHeight="1" spans="1: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customHeight="1" spans="1: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customHeight="1" spans="1: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customHeight="1" spans="1: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customHeight="1" spans="1: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customHeight="1" spans="1: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customHeight="1" spans="1: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customHeight="1" spans="1: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customHeight="1" spans="1: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customHeight="1" spans="1: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customHeight="1" spans="1: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customHeight="1" spans="1: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customHeight="1" spans="1: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customHeight="1" spans="1: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customHeight="1" spans="1: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customHeight="1" spans="1: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customHeight="1" spans="1: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customHeight="1" spans="1: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customHeight="1" spans="1: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customHeight="1" spans="1: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customHeight="1" spans="1: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customHeight="1" spans="1: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customHeight="1" spans="1: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customHeight="1" spans="1: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customHeight="1" spans="1: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customHeight="1" spans="1: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customHeight="1" spans="1: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customHeight="1" spans="1: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customHeight="1" spans="1: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customHeight="1" spans="1: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customHeight="1" spans="1: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customHeight="1" spans="1: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customHeight="1" spans="1: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customHeight="1" spans="1: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customHeight="1" spans="1: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customHeight="1" spans="1: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customHeight="1" spans="1: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customHeight="1" spans="1: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customHeight="1" spans="1: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customHeight="1" spans="1: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customHeight="1" spans="1: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customHeight="1" spans="1: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customHeight="1" spans="1: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customHeight="1" spans="1: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customHeight="1" spans="1: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customHeight="1" spans="1: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customHeight="1" spans="1: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customHeight="1" spans="1: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customHeight="1" spans="1: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customHeight="1" spans="1: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customHeight="1" spans="1: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customHeight="1" spans="1: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customHeight="1" spans="1: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customHeight="1" spans="1: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customHeight="1" spans="1: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customHeight="1" spans="1: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customHeight="1" spans="1: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customHeight="1" spans="1: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customHeight="1" spans="1: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customHeight="1" spans="1: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customHeight="1" spans="1: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customHeight="1" spans="1: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customHeight="1" spans="1: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customHeight="1" spans="1: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customHeight="1" spans="1: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customHeight="1" spans="1: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customHeight="1" spans="1: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customHeight="1" spans="1: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customHeight="1" spans="1: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customHeight="1" spans="1: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customHeight="1" spans="1: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customHeight="1" spans="1: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customHeight="1" spans="1: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customHeight="1" spans="1: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customHeight="1" spans="1: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customHeight="1" spans="1: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customHeight="1" spans="1: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customHeight="1" spans="1: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customHeight="1" spans="1: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customHeight="1" spans="1: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customHeight="1" spans="1: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customHeight="1" spans="1: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customHeight="1" spans="1: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customHeight="1" spans="1: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customHeight="1" spans="1: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customHeight="1" spans="1: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customHeight="1" spans="1: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customHeight="1" spans="1: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customHeight="1" spans="1: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customHeight="1" spans="1: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customHeight="1" spans="1: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customHeight="1" spans="1: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customHeight="1" spans="1: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customHeight="1" spans="1: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customHeight="1" spans="1: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customHeight="1" spans="1: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customHeight="1" spans="1: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customHeight="1" spans="1: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customHeight="1" spans="1: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customHeight="1" spans="1: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customHeight="1" spans="1: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customHeight="1" spans="1: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customHeight="1" spans="1: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customHeight="1" spans="1: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customHeight="1" spans="1: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customHeight="1" spans="1: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customHeight="1" spans="1: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customHeight="1" spans="1: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customHeight="1" spans="1: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customHeight="1" spans="1: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customHeight="1" spans="1: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customHeight="1" spans="1: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customHeight="1" spans="1: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customHeight="1" spans="1: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customHeight="1" spans="1: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customHeight="1" spans="1: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customHeight="1" spans="1: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customHeight="1" spans="1: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customHeight="1" spans="1: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customHeight="1" spans="1: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customHeight="1" spans="1: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customHeight="1" spans="1: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customHeight="1" spans="1: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customHeight="1" spans="1: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customHeight="1" spans="1: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customHeight="1" spans="1: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customHeight="1" spans="1: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customHeight="1" spans="1: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customHeight="1" spans="1: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customHeight="1" spans="1: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customHeight="1" spans="1: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customHeight="1" spans="1: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customHeight="1" spans="1: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customHeight="1" spans="1: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customHeight="1" spans="1: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customHeight="1" spans="1: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customHeight="1" spans="1: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customHeight="1" spans="1: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customHeight="1" spans="1: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customHeight="1" spans="1: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customHeight="1" spans="1: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customHeight="1" spans="1: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customHeight="1" spans="1: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customHeight="1" spans="1: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customHeight="1" spans="1: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customHeight="1" spans="1: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customHeight="1" spans="1: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customHeight="1" spans="1: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customHeight="1" spans="1: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customHeight="1" spans="1: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customHeight="1" spans="1: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customHeight="1" spans="1: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customHeight="1" spans="1: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customHeight="1" spans="1: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customHeight="1" spans="1: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customHeight="1" spans="1: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customHeight="1" spans="1: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customHeight="1" spans="1: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customHeight="1" spans="1: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customHeight="1" spans="1: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customHeight="1" spans="1: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customHeight="1" spans="1: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customHeight="1" spans="1: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customHeight="1" spans="1: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customHeight="1" spans="1: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customHeight="1" spans="1: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customHeight="1" spans="1: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customHeight="1" spans="1: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customHeight="1" spans="1: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customHeight="1" spans="1: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customHeight="1" spans="1: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customHeight="1" spans="1: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customHeight="1" spans="1: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customHeight="1" spans="1: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customHeight="1" spans="1: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customHeight="1" spans="1: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customHeight="1" spans="1: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customHeight="1" spans="1: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customHeight="1" spans="1: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customHeight="1" spans="1: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customHeight="1" spans="1: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customHeight="1" spans="1: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customHeight="1" spans="1: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customHeight="1" spans="1: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customHeight="1" spans="1: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customHeight="1" spans="1: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customHeight="1" spans="1: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customHeight="1" spans="1: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customHeight="1" spans="1: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customHeight="1" spans="1: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customHeight="1" spans="1: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customHeight="1" spans="1: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customHeight="1" spans="1: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customHeight="1" spans="1: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customHeight="1" spans="1: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customHeight="1" spans="1: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customHeight="1" spans="1: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customHeight="1" spans="1: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customHeight="1" spans="1: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customHeight="1" spans="1: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customHeight="1" spans="1: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customHeight="1" spans="1: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customHeight="1" spans="1: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customHeight="1" spans="1: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customHeight="1" spans="1: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customHeight="1" spans="1: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customHeight="1" spans="1: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customHeight="1" spans="1: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customHeight="1" spans="1: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customHeight="1" spans="1: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customHeight="1" spans="1: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customHeight="1" spans="1: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customHeight="1" spans="1: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customHeight="1" spans="1: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customHeight="1" spans="1: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customHeight="1" spans="1: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customHeight="1" spans="1: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customHeight="1" spans="1: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customHeight="1" spans="1: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customHeight="1" spans="1: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customHeight="1" spans="1: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customHeight="1" spans="1: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customHeight="1" spans="1: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customHeight="1" spans="1: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customHeight="1" spans="1: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customHeight="1" spans="1: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customHeight="1" spans="1: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customHeight="1" spans="1: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customHeight="1" spans="1: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customHeight="1" spans="1: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customHeight="1" spans="1: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customHeight="1" spans="1: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customHeight="1" spans="1: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customHeight="1" spans="1: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customHeight="1" spans="1: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customHeight="1" spans="1: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customHeight="1" spans="1: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customHeight="1" spans="1: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customHeight="1" spans="1: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customHeight="1" spans="1: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customHeight="1" spans="1: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customHeight="1" spans="1: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customHeight="1" spans="1: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customHeight="1" spans="1: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customHeight="1" spans="1: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customHeight="1" spans="1: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customHeight="1" spans="1: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customHeight="1" spans="1: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customHeight="1" spans="1: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customHeight="1" spans="1: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customHeight="1" spans="1: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customHeight="1" spans="1: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customHeight="1" spans="1: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customHeight="1" spans="1: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customHeight="1" spans="1: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customHeight="1" spans="1: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customHeight="1" spans="1: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customHeight="1" spans="1: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customHeight="1" spans="1: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customHeight="1" spans="1: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customHeight="1" spans="1: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customHeight="1" spans="1: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customHeight="1" spans="1: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customHeight="1" spans="1: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customHeight="1" spans="1: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customHeight="1" spans="1: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customHeight="1" spans="1: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customHeight="1" spans="1: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customHeight="1" spans="1: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customHeight="1" spans="1: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customHeight="1" spans="1: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customHeight="1" spans="1: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customHeight="1" spans="1: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customHeight="1" spans="1: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customHeight="1" spans="1: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customHeight="1" spans="1: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customHeight="1" spans="1: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customHeight="1" spans="1: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customHeight="1" spans="1: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customHeight="1" spans="1: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customHeight="1" spans="1: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customHeight="1" spans="1: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customHeight="1" spans="1: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customHeight="1" spans="1: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customHeight="1" spans="1: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customHeight="1" spans="1: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customHeight="1" spans="1: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customHeight="1" spans="1: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customHeight="1" spans="1: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customHeight="1" spans="1: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customHeight="1" spans="1: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customHeight="1" spans="1: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customHeight="1" spans="1: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customHeight="1" spans="1: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customHeight="1" spans="1: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customHeight="1" spans="1: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customHeight="1" spans="1: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customHeight="1" spans="1: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customHeight="1" spans="1: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customHeight="1" spans="1: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customHeight="1" spans="1: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customHeight="1" spans="1: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customHeight="1" spans="1: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customHeight="1" spans="1: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customHeight="1" spans="1: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customHeight="1" spans="1: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customHeight="1" spans="1: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customHeight="1" spans="1: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customHeight="1" spans="1: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customHeight="1" spans="1: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customHeight="1" spans="1: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customHeight="1" spans="1: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customHeight="1" spans="1: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customHeight="1" spans="1: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customHeight="1" spans="1: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customHeight="1" spans="1: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customHeight="1" spans="1: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customHeight="1" spans="1: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customHeight="1" spans="1: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customHeight="1" spans="1: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customHeight="1" spans="1: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customHeight="1" spans="1: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customHeight="1" spans="1: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customHeight="1" spans="1: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customHeight="1" spans="1: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customHeight="1" spans="1: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customHeight="1" spans="1: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customHeight="1" spans="1: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customHeight="1" spans="1: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customHeight="1" spans="1: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customHeight="1" spans="1: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customHeight="1" spans="1: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customHeight="1" spans="1: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customHeight="1" spans="1: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customHeight="1" spans="1: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customHeight="1" spans="1: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customHeight="1" spans="1: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customHeight="1" spans="1: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customHeight="1" spans="1: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customHeight="1" spans="1: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customHeight="1" spans="1: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customHeight="1" spans="1: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customHeight="1" spans="1: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customHeight="1" spans="1: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customHeight="1" spans="1: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customHeight="1" spans="1: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customHeight="1" spans="1: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customHeight="1" spans="1: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customHeight="1" spans="1: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customHeight="1" spans="1: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customHeight="1" spans="1: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customHeight="1" spans="1: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customHeight="1" spans="1: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customHeight="1" spans="1: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customHeight="1" spans="1: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customHeight="1" spans="1: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customHeight="1" spans="1: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customHeight="1" spans="1: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customHeight="1" spans="1: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customHeight="1" spans="1: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customHeight="1" spans="1: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customHeight="1" spans="1: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customHeight="1" spans="1: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customHeight="1" spans="1: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customHeight="1" spans="1: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customHeight="1" spans="1: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customHeight="1" spans="1: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customHeight="1" spans="1: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customHeight="1" spans="1: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customHeight="1" spans="1: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customHeight="1" spans="1: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customHeight="1" spans="1: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customHeight="1" spans="1: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customHeight="1" spans="1: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customHeight="1" spans="1: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customHeight="1" spans="1: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customHeight="1" spans="1: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customHeight="1" spans="1: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customHeight="1" spans="1: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customHeight="1" spans="1: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customHeight="1" spans="1: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customHeight="1" spans="1: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customHeight="1" spans="1: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customHeight="1" spans="1: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customHeight="1" spans="1: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customHeight="1" spans="1: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customHeight="1" spans="1: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customHeight="1" spans="1: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customHeight="1" spans="1: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customHeight="1" spans="1: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customHeight="1" spans="1: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customHeight="1" spans="1: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customHeight="1" spans="1: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customHeight="1" spans="1: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customHeight="1" spans="1: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customHeight="1" spans="1: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customHeight="1" spans="1: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customHeight="1" spans="1: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customHeight="1" spans="1: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customHeight="1" spans="1: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customHeight="1" spans="1: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customHeight="1" spans="1: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customHeight="1" spans="1: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customHeight="1" spans="1: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customHeight="1" spans="1: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customHeight="1" spans="1: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customHeight="1" spans="1: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customHeight="1" spans="1: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customHeight="1" spans="1: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customHeight="1" spans="1: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customHeight="1" spans="1: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customHeight="1" spans="1: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customHeight="1" spans="1: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customHeight="1" spans="1: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customHeight="1" spans="1: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customHeight="1" spans="1: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customHeight="1" spans="1: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customHeight="1" spans="1: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customHeight="1" spans="1: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customHeight="1" spans="1: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customHeight="1" spans="1: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customHeight="1" spans="1: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customHeight="1" spans="1: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customHeight="1" spans="1: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customHeight="1" spans="1: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customHeight="1" spans="1: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customHeight="1" spans="1: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customHeight="1" spans="1: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customHeight="1" spans="1: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customHeight="1" spans="1: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customHeight="1" spans="1: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customHeight="1" spans="1: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customHeight="1" spans="1: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customHeight="1" spans="1: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customHeight="1" spans="1: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customHeight="1" spans="1: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customHeight="1" spans="1: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customHeight="1" spans="1: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customHeight="1" spans="1: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customHeight="1" spans="1: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customHeight="1" spans="1: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customHeight="1" spans="1: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customHeight="1" spans="1: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customHeight="1" spans="1: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customHeight="1" spans="1: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customHeight="1" spans="1: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customHeight="1" spans="1: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customHeight="1" spans="1: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customHeight="1" spans="1: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customHeight="1" spans="1: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customHeight="1" spans="1: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customHeight="1" spans="1: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customHeight="1" spans="1: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customHeight="1" spans="1: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customHeight="1" spans="1: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customHeight="1" spans="1: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customHeight="1" spans="1: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customHeight="1" spans="1: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customHeight="1" spans="1: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customHeight="1" spans="1: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customHeight="1" spans="1: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customHeight="1" spans="1: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customHeight="1" spans="1: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customHeight="1" spans="1: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customHeight="1" spans="1: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customHeight="1" spans="1: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customHeight="1" spans="1: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customHeight="1" spans="1: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customHeight="1" spans="1: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customHeight="1" spans="1: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customHeight="1" spans="1: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customHeight="1" spans="1: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customHeight="1" spans="1: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customHeight="1" spans="1: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customHeight="1" spans="1: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customHeight="1" spans="1: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customHeight="1" spans="1: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customHeight="1" spans="1: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customHeight="1" spans="1: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customHeight="1" spans="1: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customHeight="1" spans="1: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customHeight="1" spans="1: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customHeight="1" spans="1: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customHeight="1" spans="1: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customHeight="1" spans="1: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customHeight="1" spans="1: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customHeight="1" spans="1: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customHeight="1" spans="1: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customHeight="1" spans="1: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customHeight="1" spans="1: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customHeight="1" spans="1: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customHeight="1" spans="1: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customHeight="1" spans="1: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customHeight="1" spans="1: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customHeight="1" spans="1: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customHeight="1" spans="1: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customHeight="1" spans="1: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customHeight="1" spans="1: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customHeight="1" spans="1: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customHeight="1" spans="1: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customHeight="1" spans="1: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customHeight="1" spans="1: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customHeight="1" spans="1: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customHeight="1" spans="1: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customHeight="1" spans="1: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customHeight="1" spans="1: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customHeight="1" spans="1: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customHeight="1" spans="1: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customHeight="1" spans="1: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customHeight="1" spans="1: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customHeight="1" spans="1: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customHeight="1" spans="1: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customHeight="1" spans="1: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customHeight="1" spans="1: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customHeight="1" spans="1: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customHeight="1" spans="1: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customHeight="1" spans="1: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customHeight="1" spans="1: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customHeight="1" spans="1: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customHeight="1" spans="1: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customHeight="1" spans="1: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customHeight="1" spans="1: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customHeight="1" spans="1: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customHeight="1" spans="1: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customHeight="1" spans="1: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customHeight="1" spans="1: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customHeight="1" spans="1: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customHeight="1" spans="1: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customHeight="1" spans="1: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customHeight="1" spans="1: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customHeight="1" spans="1: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customHeight="1" spans="1: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customHeight="1" spans="1: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customHeight="1" spans="1: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customHeight="1" spans="1: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customHeight="1" spans="1: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customHeight="1" spans="1: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customHeight="1" spans="1: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customHeight="1" spans="1: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customHeight="1" spans="1: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customHeight="1" spans="1: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customHeight="1" spans="1: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customHeight="1" spans="1: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customHeight="1" spans="1: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customHeight="1" spans="1: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customHeight="1" spans="1: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customHeight="1" spans="1: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customHeight="1" spans="1: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customHeight="1" spans="1: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customHeight="1" spans="1: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customHeight="1" spans="1: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customHeight="1" spans="1: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customHeight="1" spans="1: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customHeight="1" spans="1: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customHeight="1" spans="1: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customHeight="1" spans="1: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customHeight="1" spans="1: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customHeight="1" spans="1: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customHeight="1" spans="1: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customHeight="1" spans="1: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customHeight="1" spans="1: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customHeight="1" spans="1: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customHeight="1" spans="1: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customHeight="1" spans="1: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customHeight="1" spans="1: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customHeight="1" spans="1: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customHeight="1" spans="1: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customHeight="1" spans="1: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customHeight="1" spans="1: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customHeight="1" spans="1: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customHeight="1" spans="1: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customHeight="1" spans="1: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customHeight="1" spans="1: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customHeight="1" spans="1: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customHeight="1" spans="1: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customHeight="1" spans="1: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customHeight="1" spans="1: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customHeight="1" spans="1: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customHeight="1" spans="1: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customHeight="1" spans="1: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customHeight="1" spans="1: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customHeight="1" spans="1: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customHeight="1" spans="1: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customHeight="1" spans="1: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customHeight="1" spans="1: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customHeight="1" spans="1: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customHeight="1" spans="1: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customHeight="1" spans="1: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customHeight="1" spans="1: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customHeight="1" spans="1: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customHeight="1" spans="1: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customHeight="1" spans="1: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customHeight="1" spans="1: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customHeight="1" spans="1: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customHeight="1" spans="1: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customHeight="1" spans="1: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customHeight="1" spans="1: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customHeight="1" spans="1: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customHeight="1" spans="1: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customHeight="1" spans="1: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customHeight="1" spans="1: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customHeight="1" spans="1: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customHeight="1" spans="1: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customHeight="1" spans="1: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customHeight="1" spans="1: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customHeight="1" spans="1: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customHeight="1" spans="1: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customHeight="1" spans="1: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customHeight="1" spans="1: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customHeight="1" spans="1: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customHeight="1" spans="1: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customHeight="1" spans="1: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customHeight="1" spans="1: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customHeight="1" spans="1: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customHeight="1" spans="1: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customHeight="1" spans="1: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customHeight="1" spans="1: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customHeight="1" spans="1: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customHeight="1" spans="1: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customHeight="1" spans="1: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customHeight="1" spans="1: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customHeight="1" spans="1: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customHeight="1" spans="1: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customHeight="1" spans="1: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customHeight="1" spans="1: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customHeight="1" spans="1: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customHeight="1" spans="1: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customHeight="1" spans="1: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customHeight="1" spans="1: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customHeight="1" spans="1: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customHeight="1" spans="1: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customHeight="1" spans="1: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customHeight="1" spans="1: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customHeight="1" spans="1: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customHeight="1" spans="1: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customHeight="1" spans="1: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customHeight="1" spans="1: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customHeight="1" spans="1: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customHeight="1" spans="1: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customHeight="1" spans="1: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customHeight="1" spans="1: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customHeight="1" spans="1: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customHeight="1" spans="1: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customHeight="1" spans="1: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customHeight="1" spans="1: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customHeight="1" spans="1: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customHeight="1" spans="1: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customHeight="1" spans="1: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customHeight="1" spans="1: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customHeight="1" spans="1: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customHeight="1" spans="1: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customHeight="1" spans="1: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customHeight="1" spans="1: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customHeight="1" spans="1: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customHeight="1" spans="1: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customHeight="1" spans="1: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customHeight="1" spans="1: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customHeight="1" spans="1: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customHeight="1" spans="1: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customHeight="1" spans="1: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customHeight="1" spans="1: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customHeight="1" spans="1: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customHeight="1" spans="1: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customHeight="1" spans="1: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customHeight="1" spans="1: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customHeight="1" spans="1: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customHeight="1" spans="1: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customHeight="1" spans="1: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customHeight="1" spans="1: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customHeight="1" spans="1: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customHeight="1" spans="1: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customHeight="1" spans="1: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customHeight="1" spans="1: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customHeight="1" spans="1: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customHeight="1" spans="1: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customHeight="1" spans="1: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customHeight="1" spans="1: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customHeight="1" spans="1: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customHeight="1" spans="1: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customHeight="1" spans="1: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customHeight="1" spans="1: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customHeight="1" spans="1: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customHeight="1" spans="1: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customHeight="1" spans="1: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customHeight="1" spans="1: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customHeight="1" spans="1: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customHeight="1" spans="1: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customHeight="1" spans="1: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customHeight="1" spans="1: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customHeight="1" spans="1: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customHeight="1" spans="1: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customHeight="1" spans="1: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customHeight="1" spans="1: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customHeight="1" spans="1: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customHeight="1" spans="1: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customHeight="1" spans="1: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customHeight="1" spans="1: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customHeight="1" spans="1: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customHeight="1" spans="1: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customHeight="1" spans="1: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customHeight="1" spans="1: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customHeight="1" spans="1: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customHeight="1" spans="1: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customHeight="1" spans="1: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customHeight="1" spans="1: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customHeight="1" spans="1: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customHeight="1" spans="1: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customHeight="1" spans="1: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customHeight="1" spans="1: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customHeight="1" spans="1: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customHeight="1" spans="1: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customHeight="1" spans="1: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customHeight="1" spans="1: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customHeight="1" spans="1: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customHeight="1" spans="1: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customHeight="1" spans="1: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customHeight="1" spans="1: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customHeight="1" spans="1: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customHeight="1" spans="1: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customHeight="1" spans="1: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customHeight="1" spans="1: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customHeight="1" spans="1: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customHeight="1" spans="1: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customHeight="1" spans="1: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customHeight="1" spans="1: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customHeight="1" spans="1: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customHeight="1" spans="1: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customHeight="1" spans="1: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customHeight="1" spans="1: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customHeight="1" spans="1: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customHeight="1" spans="1: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customHeight="1" spans="1: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customHeight="1" spans="1: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customHeight="1" spans="1: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customHeight="1" spans="1: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customHeight="1" spans="1: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customHeight="1" spans="1: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customHeight="1" spans="1: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customHeight="1" spans="1: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customHeight="1" spans="1: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customHeight="1" spans="1: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customHeight="1" spans="1: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customHeight="1" spans="1: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customHeight="1" spans="1: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customHeight="1" spans="1: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customHeight="1" spans="1: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customHeight="1" spans="1: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customHeight="1" spans="1: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customHeight="1" spans="1: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customHeight="1" spans="1: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customHeight="1" spans="1: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customHeight="1" spans="1: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customHeight="1" spans="1: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customHeight="1" spans="1: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customHeight="1" spans="1: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customHeight="1" spans="1: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customHeight="1" spans="1: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customHeight="1" spans="1: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customHeight="1" spans="1: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customHeight="1" spans="1: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customHeight="1" spans="1: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customHeight="1" spans="1: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hyperlinks>
    <hyperlink ref="I2" r:id="rId1" display="=IFERROR(@__xludf.DUMMYFUNCTION(&quot;&quot;&quot;COMPUTED_VALUE&quot;&quot;&quot;),&quot;https://drive.google.com/drive/folders/1MtJHlMA0TQCKupyyGN6MJakVJ74Axfm0&quot;)"/>
    <hyperlink ref="I3" r:id="rId2" display="=IFERROR(@__xludf.DUMMYFUNCTION(&quot;&quot;&quot;COMPUTED_VALUE&quot;&quot;&quot;),&quot;https://drive.google.com/drive/u/1/folders/1Yi8-wbHDeUWpNUZy7kIahslQS-EmwJlf&quot;)"/>
    <hyperlink ref="I22" r:id="rId3" display="=IFERROR(@__xludf.DUMMYFUNCTION(&quot;&quot;&quot;COMPUTED_VALUE&quot;&quot;&quot;),&quot;http://www.boentes.com&quot;)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Load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Ruvako Mabureki</dc:creator>
  <cp:lastModifiedBy>admin</cp:lastModifiedBy>
  <dcterms:created xsi:type="dcterms:W3CDTF">2024-07-29T11:34:00Z</dcterms:created>
  <dcterms:modified xsi:type="dcterms:W3CDTF">2024-08-03T13:00:50Z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590B29F45F5F4CC7AAD2C25FA2B50367_12</vt:lpwstr>
  </property>
  <property fmtid="{D5CDD505-2E9C-101B-9397-08002B2CF9AE}" pid="3" name="KSOProductBuildVer">
    <vt:lpwstr>1033-12.2.0.17545</vt:lpwstr>
  </property>
</Properties>
</file>