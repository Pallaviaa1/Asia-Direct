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vak\Downloads\"/>
    </mc:Choice>
  </mc:AlternateContent>
  <xr:revisionPtr revIDLastSave="0" documentId="8_{5583D05B-C8B3-42CC-AE84-DAE914FD0DB0}" xr6:coauthVersionLast="47" xr6:coauthVersionMax="47" xr10:uidLastSave="{00000000-0000-0000-0000-000000000000}"/>
  <bookViews>
    <workbookView xWindow="-108" yWindow="-108" windowWidth="23256" windowHeight="12456" xr2:uid="{14C55D5E-51F5-40E6-92C1-A10EE88CB31C}"/>
  </bookViews>
  <sheets>
    <sheet name="Deliv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37" i="1" l="1"/>
  <c r="J237" i="1"/>
  <c r="H237" i="1"/>
  <c r="G237" i="1"/>
  <c r="D237" i="1"/>
  <c r="C237" i="1"/>
  <c r="B237" i="1"/>
  <c r="A237" i="1"/>
  <c r="Z236" i="1"/>
  <c r="J236" i="1"/>
  <c r="H236" i="1"/>
  <c r="G236" i="1"/>
  <c r="D236" i="1"/>
  <c r="B236" i="1"/>
  <c r="A236" i="1"/>
  <c r="Z235" i="1"/>
  <c r="J235" i="1"/>
  <c r="H235" i="1"/>
  <c r="G235" i="1"/>
  <c r="D235" i="1"/>
  <c r="B235" i="1"/>
  <c r="A235" i="1"/>
  <c r="Z234" i="1"/>
  <c r="J234" i="1"/>
  <c r="H234" i="1"/>
  <c r="G234" i="1"/>
  <c r="D234" i="1"/>
  <c r="B234" i="1"/>
  <c r="A234" i="1"/>
  <c r="Z233" i="1"/>
  <c r="J233" i="1"/>
  <c r="H233" i="1"/>
  <c r="G233" i="1"/>
  <c r="D233" i="1"/>
  <c r="B233" i="1"/>
  <c r="A233" i="1"/>
  <c r="Z232" i="1"/>
  <c r="J232" i="1"/>
  <c r="H232" i="1"/>
  <c r="G232" i="1"/>
  <c r="D232" i="1"/>
  <c r="B232" i="1"/>
  <c r="A232" i="1"/>
  <c r="Z231" i="1"/>
  <c r="J231" i="1"/>
  <c r="H231" i="1"/>
  <c r="G231" i="1"/>
  <c r="D231" i="1"/>
  <c r="B231" i="1"/>
  <c r="A231" i="1"/>
  <c r="Z230" i="1"/>
  <c r="R230" i="1"/>
  <c r="Q230" i="1"/>
  <c r="P230" i="1"/>
  <c r="O230" i="1"/>
  <c r="N230" i="1"/>
  <c r="M230" i="1"/>
  <c r="L230" i="1"/>
  <c r="K230" i="1"/>
  <c r="J230" i="1"/>
  <c r="H230" i="1"/>
  <c r="G230" i="1"/>
  <c r="F230" i="1"/>
  <c r="E230" i="1"/>
  <c r="D230" i="1"/>
  <c r="C230" i="1"/>
  <c r="B230" i="1"/>
  <c r="A230" i="1"/>
  <c r="Z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Z228" i="1"/>
  <c r="J228" i="1"/>
  <c r="H228" i="1"/>
  <c r="G228" i="1"/>
  <c r="D228" i="1"/>
  <c r="B228" i="1"/>
  <c r="A228" i="1"/>
  <c r="Z227" i="1"/>
  <c r="J227" i="1"/>
  <c r="H227" i="1"/>
  <c r="G227" i="1"/>
  <c r="D227" i="1"/>
  <c r="B227" i="1"/>
  <c r="A227" i="1"/>
  <c r="Z226" i="1"/>
  <c r="J226" i="1"/>
  <c r="H226" i="1"/>
  <c r="G226" i="1"/>
  <c r="D226" i="1"/>
  <c r="B226" i="1"/>
  <c r="A226" i="1"/>
  <c r="Z225" i="1"/>
  <c r="J225" i="1"/>
  <c r="H225" i="1"/>
  <c r="G225" i="1"/>
  <c r="D225" i="1"/>
  <c r="B225" i="1"/>
  <c r="A225" i="1"/>
  <c r="Z223" i="1"/>
  <c r="K223" i="1"/>
  <c r="J223" i="1"/>
  <c r="I223" i="1"/>
  <c r="H223" i="1"/>
  <c r="G223" i="1"/>
  <c r="F223" i="1"/>
  <c r="D223" i="1"/>
  <c r="C223" i="1"/>
  <c r="B223" i="1"/>
  <c r="A223" i="1"/>
  <c r="Z222" i="1"/>
  <c r="J222" i="1"/>
  <c r="H222" i="1"/>
  <c r="G222" i="1"/>
  <c r="D222" i="1"/>
  <c r="C222" i="1"/>
  <c r="B222" i="1"/>
  <c r="A222" i="1"/>
  <c r="Z221" i="1"/>
  <c r="J221" i="1"/>
  <c r="H221" i="1"/>
  <c r="G221" i="1"/>
  <c r="D221" i="1"/>
  <c r="C221" i="1"/>
  <c r="B221" i="1"/>
  <c r="A221" i="1"/>
  <c r="Z220" i="1"/>
  <c r="J220" i="1"/>
  <c r="H220" i="1"/>
  <c r="G220" i="1"/>
  <c r="D220" i="1"/>
  <c r="C220" i="1"/>
  <c r="B220" i="1"/>
  <c r="A220" i="1"/>
  <c r="Z219" i="1"/>
  <c r="S219" i="1"/>
  <c r="R219" i="1"/>
  <c r="P219" i="1"/>
  <c r="O219" i="1"/>
  <c r="N219" i="1"/>
  <c r="M219" i="1"/>
  <c r="J219" i="1"/>
  <c r="I219" i="1"/>
  <c r="H219" i="1"/>
  <c r="G219" i="1"/>
  <c r="F219" i="1"/>
  <c r="E219" i="1"/>
  <c r="D219" i="1"/>
  <c r="C219" i="1"/>
  <c r="B219" i="1"/>
  <c r="A219" i="1"/>
  <c r="Z218" i="1"/>
  <c r="J218" i="1"/>
  <c r="H218" i="1"/>
  <c r="G218" i="1"/>
  <c r="F218" i="1"/>
  <c r="D218" i="1"/>
  <c r="C218" i="1"/>
  <c r="B218" i="1"/>
  <c r="A218" i="1"/>
  <c r="Z217" i="1"/>
  <c r="J217" i="1"/>
  <c r="H217" i="1"/>
  <c r="G217" i="1"/>
  <c r="F217" i="1"/>
  <c r="D217" i="1"/>
  <c r="C217" i="1"/>
  <c r="B217" i="1"/>
  <c r="A217" i="1"/>
  <c r="Z216" i="1"/>
  <c r="J216" i="1"/>
  <c r="H216" i="1"/>
  <c r="G216" i="1"/>
  <c r="D216" i="1"/>
  <c r="C216" i="1"/>
  <c r="B216" i="1"/>
  <c r="A216" i="1"/>
  <c r="Z215" i="1"/>
  <c r="J215" i="1"/>
  <c r="H215" i="1"/>
  <c r="G215" i="1"/>
  <c r="D215" i="1"/>
  <c r="C215" i="1"/>
  <c r="B215" i="1"/>
  <c r="A215" i="1"/>
  <c r="Z214" i="1"/>
  <c r="O214" i="1"/>
  <c r="J214" i="1"/>
  <c r="I214" i="1"/>
  <c r="H214" i="1"/>
  <c r="G214" i="1"/>
  <c r="F214" i="1"/>
  <c r="E214" i="1"/>
  <c r="D214" i="1"/>
  <c r="C214" i="1"/>
  <c r="B214" i="1"/>
  <c r="A214" i="1"/>
  <c r="Z213" i="1"/>
  <c r="J213" i="1"/>
  <c r="I213" i="1"/>
  <c r="H213" i="1"/>
  <c r="G213" i="1"/>
  <c r="F213" i="1"/>
  <c r="E213" i="1"/>
  <c r="D213" i="1"/>
  <c r="C213" i="1"/>
  <c r="B213" i="1"/>
  <c r="A213" i="1"/>
  <c r="Z212" i="1"/>
  <c r="J212" i="1"/>
  <c r="I212" i="1"/>
  <c r="H212" i="1"/>
  <c r="G212" i="1"/>
  <c r="F212" i="1"/>
  <c r="E212" i="1"/>
  <c r="D212" i="1"/>
  <c r="C212" i="1"/>
  <c r="B212" i="1"/>
  <c r="A212" i="1"/>
  <c r="Z211" i="1"/>
  <c r="J211" i="1"/>
  <c r="H211" i="1"/>
  <c r="G211" i="1"/>
  <c r="F211" i="1"/>
  <c r="E211" i="1"/>
  <c r="D211" i="1"/>
  <c r="C211" i="1"/>
  <c r="B211" i="1"/>
  <c r="A211" i="1"/>
  <c r="Z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Z209" i="1"/>
  <c r="S209" i="1"/>
  <c r="R209" i="1"/>
  <c r="P209" i="1"/>
  <c r="O209" i="1"/>
  <c r="M209" i="1"/>
  <c r="J209" i="1"/>
  <c r="I209" i="1"/>
  <c r="H209" i="1"/>
  <c r="G209" i="1"/>
  <c r="F209" i="1"/>
  <c r="E209" i="1"/>
  <c r="D209" i="1"/>
  <c r="C209" i="1"/>
  <c r="B209" i="1"/>
  <c r="A209" i="1"/>
  <c r="Z208" i="1"/>
  <c r="S208" i="1"/>
  <c r="P208" i="1"/>
  <c r="O208" i="1"/>
  <c r="N208" i="1"/>
  <c r="L208" i="1"/>
  <c r="J208" i="1"/>
  <c r="I208" i="1"/>
  <c r="H208" i="1"/>
  <c r="G208" i="1"/>
  <c r="F208" i="1"/>
  <c r="E208" i="1"/>
  <c r="D208" i="1"/>
  <c r="C208" i="1"/>
  <c r="B208" i="1"/>
  <c r="A208" i="1"/>
  <c r="Z207" i="1"/>
  <c r="S207" i="1"/>
  <c r="P207" i="1"/>
  <c r="O207" i="1"/>
  <c r="N207" i="1"/>
  <c r="L207" i="1"/>
  <c r="J207" i="1"/>
  <c r="H207" i="1"/>
  <c r="G207" i="1"/>
  <c r="F207" i="1"/>
  <c r="E207" i="1"/>
  <c r="D207" i="1"/>
  <c r="C207" i="1"/>
  <c r="B207" i="1"/>
  <c r="A207" i="1"/>
  <c r="Z206" i="1"/>
  <c r="S206" i="1"/>
  <c r="P206" i="1"/>
  <c r="O206" i="1"/>
  <c r="N206" i="1"/>
  <c r="L206" i="1"/>
  <c r="J206" i="1"/>
  <c r="I206" i="1"/>
  <c r="H206" i="1"/>
  <c r="G206" i="1"/>
  <c r="F206" i="1"/>
  <c r="E206" i="1"/>
  <c r="D206" i="1"/>
  <c r="C206" i="1"/>
  <c r="B206" i="1"/>
  <c r="A206" i="1"/>
  <c r="Z205" i="1"/>
  <c r="S205" i="1"/>
  <c r="P205" i="1"/>
  <c r="O205" i="1"/>
  <c r="N205" i="1"/>
  <c r="L205" i="1"/>
  <c r="J205" i="1"/>
  <c r="I205" i="1"/>
  <c r="H205" i="1"/>
  <c r="G205" i="1"/>
  <c r="F205" i="1"/>
  <c r="E205" i="1"/>
  <c r="D205" i="1"/>
  <c r="C205" i="1"/>
  <c r="B205" i="1"/>
  <c r="A205" i="1"/>
  <c r="Z204" i="1"/>
  <c r="T204" i="1"/>
  <c r="S204" i="1"/>
  <c r="R204" i="1"/>
  <c r="P204" i="1"/>
  <c r="O204" i="1"/>
  <c r="N204" i="1"/>
  <c r="M204" i="1"/>
  <c r="K204" i="1"/>
  <c r="J204" i="1"/>
  <c r="I204" i="1"/>
  <c r="H204" i="1"/>
  <c r="G204" i="1"/>
  <c r="F204" i="1"/>
  <c r="E204" i="1"/>
  <c r="D204" i="1"/>
  <c r="C204" i="1"/>
  <c r="B204" i="1"/>
  <c r="A204" i="1"/>
  <c r="Z203" i="1"/>
  <c r="O203" i="1"/>
  <c r="J203" i="1"/>
  <c r="I203" i="1"/>
  <c r="H203" i="1"/>
  <c r="G203" i="1"/>
  <c r="F203" i="1"/>
  <c r="E203" i="1"/>
  <c r="D203" i="1"/>
  <c r="C203" i="1"/>
  <c r="B203" i="1"/>
  <c r="A203" i="1"/>
  <c r="Z202" i="1"/>
  <c r="S202" i="1"/>
  <c r="O202" i="1"/>
  <c r="J202" i="1"/>
  <c r="I202" i="1"/>
  <c r="H202" i="1"/>
  <c r="G202" i="1"/>
  <c r="F202" i="1"/>
  <c r="E202" i="1"/>
  <c r="D202" i="1"/>
  <c r="C202" i="1"/>
  <c r="B202" i="1"/>
  <c r="A202" i="1"/>
  <c r="Z201" i="1"/>
  <c r="S201" i="1"/>
  <c r="R201" i="1"/>
  <c r="P201" i="1"/>
  <c r="O201" i="1"/>
  <c r="N201" i="1"/>
  <c r="J201" i="1"/>
  <c r="I201" i="1"/>
  <c r="H201" i="1"/>
  <c r="G201" i="1"/>
  <c r="F201" i="1"/>
  <c r="E201" i="1"/>
  <c r="D201" i="1"/>
  <c r="C201" i="1"/>
  <c r="B201" i="1"/>
  <c r="A201" i="1"/>
  <c r="Z200" i="1"/>
  <c r="S200" i="1"/>
  <c r="P200" i="1"/>
  <c r="O200" i="1"/>
  <c r="J200" i="1"/>
  <c r="I200" i="1"/>
  <c r="H200" i="1"/>
  <c r="G200" i="1"/>
  <c r="F200" i="1"/>
  <c r="E200" i="1"/>
  <c r="D200" i="1"/>
  <c r="C200" i="1"/>
  <c r="B200" i="1"/>
  <c r="A200" i="1"/>
  <c r="Z199" i="1"/>
  <c r="P199" i="1"/>
  <c r="O199" i="1"/>
  <c r="N199" i="1"/>
  <c r="J199" i="1"/>
  <c r="I199" i="1"/>
  <c r="H199" i="1"/>
  <c r="G199" i="1"/>
  <c r="F199" i="1"/>
  <c r="E199" i="1"/>
  <c r="D199" i="1"/>
  <c r="C199" i="1"/>
  <c r="B199" i="1"/>
  <c r="A199" i="1"/>
  <c r="Z198" i="1"/>
  <c r="P198" i="1"/>
  <c r="O198" i="1"/>
  <c r="N198" i="1"/>
  <c r="J198" i="1"/>
  <c r="I198" i="1"/>
  <c r="H198" i="1"/>
  <c r="G198" i="1"/>
  <c r="F198" i="1"/>
  <c r="E198" i="1"/>
  <c r="D198" i="1"/>
  <c r="C198" i="1"/>
  <c r="B198" i="1"/>
  <c r="A198" i="1"/>
  <c r="Z197" i="1"/>
  <c r="S197" i="1"/>
  <c r="P197" i="1"/>
  <c r="O197" i="1"/>
  <c r="N197" i="1"/>
  <c r="J197" i="1"/>
  <c r="I197" i="1"/>
  <c r="H197" i="1"/>
  <c r="G197" i="1"/>
  <c r="F197" i="1"/>
  <c r="E197" i="1"/>
  <c r="D197" i="1"/>
  <c r="C197" i="1"/>
  <c r="B197" i="1"/>
  <c r="A197" i="1"/>
  <c r="Z196" i="1"/>
  <c r="J196" i="1"/>
  <c r="H196" i="1"/>
  <c r="G196" i="1"/>
  <c r="D196" i="1"/>
  <c r="B196" i="1"/>
  <c r="A196" i="1"/>
  <c r="Z194" i="1"/>
  <c r="J194" i="1"/>
  <c r="I194" i="1"/>
  <c r="H194" i="1"/>
  <c r="G194" i="1"/>
  <c r="F194" i="1"/>
  <c r="E194" i="1"/>
  <c r="D194" i="1"/>
  <c r="C194" i="1"/>
  <c r="B194" i="1"/>
  <c r="A194" i="1"/>
  <c r="Z192" i="1"/>
  <c r="O192" i="1"/>
  <c r="N192" i="1"/>
  <c r="J192" i="1"/>
  <c r="I192" i="1"/>
  <c r="H192" i="1"/>
  <c r="G192" i="1"/>
  <c r="F192" i="1"/>
  <c r="E192" i="1"/>
  <c r="D192" i="1"/>
  <c r="C192" i="1"/>
  <c r="B192" i="1"/>
  <c r="A192" i="1"/>
  <c r="Z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Z190" i="1"/>
  <c r="R190" i="1"/>
  <c r="Q190" i="1"/>
  <c r="P190" i="1"/>
  <c r="O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Z189" i="1"/>
  <c r="S189" i="1"/>
  <c r="P189" i="1"/>
  <c r="O189" i="1"/>
  <c r="N189" i="1"/>
  <c r="J189" i="1"/>
  <c r="I189" i="1"/>
  <c r="H189" i="1"/>
  <c r="G189" i="1"/>
  <c r="F189" i="1"/>
  <c r="E189" i="1"/>
  <c r="D189" i="1"/>
  <c r="C189" i="1"/>
  <c r="B189" i="1"/>
  <c r="A189" i="1"/>
  <c r="Z188" i="1"/>
  <c r="S188" i="1"/>
  <c r="R188" i="1"/>
  <c r="P188" i="1"/>
  <c r="O188" i="1"/>
  <c r="N188" i="1"/>
  <c r="M188" i="1"/>
  <c r="J188" i="1"/>
  <c r="I188" i="1"/>
  <c r="H188" i="1"/>
  <c r="G188" i="1"/>
  <c r="F188" i="1"/>
  <c r="E188" i="1"/>
  <c r="D188" i="1"/>
  <c r="C188" i="1"/>
  <c r="B188" i="1"/>
  <c r="A188" i="1"/>
  <c r="Z187" i="1"/>
  <c r="S187" i="1"/>
  <c r="R187" i="1"/>
  <c r="O187" i="1"/>
  <c r="J187" i="1"/>
  <c r="I187" i="1"/>
  <c r="H187" i="1"/>
  <c r="G187" i="1"/>
  <c r="F187" i="1"/>
  <c r="E187" i="1"/>
  <c r="D187" i="1"/>
  <c r="C187" i="1"/>
  <c r="B187" i="1"/>
  <c r="A187" i="1"/>
  <c r="Z186" i="1"/>
  <c r="S186" i="1"/>
  <c r="Q186" i="1"/>
  <c r="P186" i="1"/>
  <c r="O186" i="1"/>
  <c r="N186" i="1"/>
  <c r="L186" i="1"/>
  <c r="J186" i="1"/>
  <c r="I186" i="1"/>
  <c r="H186" i="1"/>
  <c r="G186" i="1"/>
  <c r="F186" i="1"/>
  <c r="E186" i="1"/>
  <c r="D186" i="1"/>
  <c r="C186" i="1"/>
  <c r="B186" i="1"/>
  <c r="A186" i="1"/>
  <c r="Z185" i="1"/>
  <c r="O185" i="1"/>
  <c r="J185" i="1"/>
  <c r="I185" i="1"/>
  <c r="H185" i="1"/>
  <c r="G185" i="1"/>
  <c r="F185" i="1"/>
  <c r="E185" i="1"/>
  <c r="D185" i="1"/>
  <c r="C185" i="1"/>
  <c r="B185" i="1"/>
  <c r="A185" i="1"/>
  <c r="Z184" i="1"/>
  <c r="S184" i="1"/>
  <c r="R184" i="1"/>
  <c r="Q184" i="1"/>
  <c r="P184" i="1"/>
  <c r="O184" i="1"/>
  <c r="N184" i="1"/>
  <c r="M184" i="1"/>
  <c r="L184" i="1"/>
  <c r="K184" i="1"/>
  <c r="J184" i="1"/>
  <c r="H184" i="1"/>
  <c r="G184" i="1"/>
  <c r="F184" i="1"/>
  <c r="E184" i="1"/>
  <c r="D184" i="1"/>
  <c r="C184" i="1"/>
  <c r="B184" i="1"/>
  <c r="A184" i="1"/>
  <c r="Z183" i="1"/>
  <c r="V183" i="1"/>
  <c r="U183" i="1"/>
  <c r="T183" i="1"/>
  <c r="S183" i="1"/>
  <c r="R183" i="1"/>
  <c r="P183" i="1"/>
  <c r="O183" i="1"/>
  <c r="N183" i="1"/>
  <c r="M183" i="1"/>
  <c r="J183" i="1"/>
  <c r="I183" i="1"/>
  <c r="H183" i="1"/>
  <c r="G183" i="1"/>
  <c r="F183" i="1"/>
  <c r="E183" i="1"/>
  <c r="D183" i="1"/>
  <c r="C183" i="1"/>
  <c r="B183" i="1"/>
  <c r="A183" i="1"/>
  <c r="Z182" i="1"/>
  <c r="P182" i="1"/>
  <c r="O182" i="1"/>
  <c r="N182" i="1"/>
  <c r="M182" i="1"/>
  <c r="J182" i="1"/>
  <c r="I182" i="1"/>
  <c r="H182" i="1"/>
  <c r="G182" i="1"/>
  <c r="E182" i="1"/>
  <c r="D182" i="1"/>
  <c r="C182" i="1"/>
  <c r="B182" i="1"/>
  <c r="A182" i="1"/>
  <c r="Z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Z179" i="1"/>
  <c r="R179" i="1"/>
  <c r="P179" i="1"/>
  <c r="O179" i="1"/>
  <c r="N179" i="1"/>
  <c r="M179" i="1"/>
  <c r="K179" i="1"/>
  <c r="J179" i="1"/>
  <c r="I179" i="1"/>
  <c r="H179" i="1"/>
  <c r="G179" i="1"/>
  <c r="F179" i="1"/>
  <c r="E179" i="1"/>
  <c r="D179" i="1"/>
  <c r="C179" i="1"/>
  <c r="B179" i="1"/>
  <c r="A179" i="1"/>
  <c r="Z178" i="1"/>
  <c r="P178" i="1"/>
  <c r="O178" i="1"/>
  <c r="N178" i="1"/>
  <c r="M178" i="1"/>
  <c r="J178" i="1"/>
  <c r="I178" i="1"/>
  <c r="H178" i="1"/>
  <c r="G178" i="1"/>
  <c r="F178" i="1"/>
  <c r="E178" i="1"/>
  <c r="D178" i="1"/>
  <c r="C178" i="1"/>
  <c r="B178" i="1"/>
  <c r="A178" i="1"/>
  <c r="Z177" i="1"/>
  <c r="R177" i="1"/>
  <c r="P177" i="1"/>
  <c r="O177" i="1"/>
  <c r="N177" i="1"/>
  <c r="M177" i="1"/>
  <c r="J177" i="1"/>
  <c r="I177" i="1"/>
  <c r="H177" i="1"/>
  <c r="G177" i="1"/>
  <c r="E177" i="1"/>
  <c r="D177" i="1"/>
  <c r="C177" i="1"/>
  <c r="B177" i="1"/>
  <c r="A177" i="1"/>
  <c r="Z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Z174" i="1"/>
  <c r="W174" i="1"/>
  <c r="S174" i="1"/>
  <c r="R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B174" i="1"/>
  <c r="A174" i="1"/>
  <c r="Z171" i="1"/>
  <c r="R171" i="1"/>
  <c r="P171" i="1"/>
  <c r="O171" i="1"/>
  <c r="N171" i="1"/>
  <c r="L171" i="1"/>
  <c r="J171" i="1"/>
  <c r="I171" i="1"/>
  <c r="H171" i="1"/>
  <c r="G171" i="1"/>
  <c r="F171" i="1"/>
  <c r="E171" i="1"/>
  <c r="D171" i="1"/>
  <c r="C171" i="1"/>
  <c r="B171" i="1"/>
  <c r="A171" i="1"/>
  <c r="Z170" i="1"/>
  <c r="T170" i="1"/>
  <c r="S170" i="1"/>
  <c r="R170" i="1"/>
  <c r="Q170" i="1"/>
  <c r="P170" i="1"/>
  <c r="O170" i="1"/>
  <c r="N170" i="1"/>
  <c r="M170" i="1"/>
  <c r="L170" i="1"/>
  <c r="J170" i="1"/>
  <c r="I170" i="1"/>
  <c r="H170" i="1"/>
  <c r="G170" i="1"/>
  <c r="F170" i="1"/>
  <c r="E170" i="1"/>
  <c r="D170" i="1"/>
  <c r="C170" i="1"/>
  <c r="B170" i="1"/>
  <c r="A170" i="1"/>
  <c r="Z169" i="1"/>
  <c r="W169" i="1"/>
  <c r="S169" i="1"/>
  <c r="R169" i="1"/>
  <c r="O169" i="1"/>
  <c r="J169" i="1"/>
  <c r="I169" i="1"/>
  <c r="H169" i="1"/>
  <c r="G169" i="1"/>
  <c r="F169" i="1"/>
  <c r="E169" i="1"/>
  <c r="D169" i="1"/>
  <c r="C169" i="1"/>
  <c r="B169" i="1"/>
  <c r="A169" i="1"/>
  <c r="Z168" i="1"/>
  <c r="S168" i="1"/>
  <c r="R168" i="1"/>
  <c r="Q168" i="1"/>
  <c r="P168" i="1"/>
  <c r="O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Z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Z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Z164" i="1"/>
  <c r="W164" i="1"/>
  <c r="V164" i="1"/>
  <c r="T164" i="1"/>
  <c r="S164" i="1"/>
  <c r="R164" i="1"/>
  <c r="Q164" i="1"/>
  <c r="P164" i="1"/>
  <c r="O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Z163" i="1"/>
  <c r="R163" i="1"/>
  <c r="O163" i="1"/>
  <c r="J163" i="1"/>
  <c r="I163" i="1"/>
  <c r="H163" i="1"/>
  <c r="G163" i="1"/>
  <c r="F163" i="1"/>
  <c r="E163" i="1"/>
  <c r="D163" i="1"/>
  <c r="C163" i="1"/>
  <c r="B163" i="1"/>
  <c r="A163" i="1"/>
  <c r="Z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Z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Z159" i="1"/>
  <c r="R159" i="1"/>
  <c r="P159" i="1"/>
  <c r="O159" i="1"/>
  <c r="N159" i="1"/>
  <c r="M159" i="1"/>
  <c r="J159" i="1"/>
  <c r="I159" i="1"/>
  <c r="H159" i="1"/>
  <c r="G159" i="1"/>
  <c r="F159" i="1"/>
  <c r="E159" i="1"/>
  <c r="D159" i="1"/>
  <c r="C159" i="1"/>
  <c r="B159" i="1"/>
  <c r="A159" i="1"/>
  <c r="Z158" i="1"/>
  <c r="S158" i="1"/>
  <c r="R158" i="1"/>
  <c r="Q158" i="1"/>
  <c r="P158" i="1"/>
  <c r="O158" i="1"/>
  <c r="N158" i="1"/>
  <c r="M158" i="1"/>
  <c r="L158" i="1"/>
  <c r="K158" i="1"/>
  <c r="J158" i="1"/>
  <c r="H158" i="1"/>
  <c r="G158" i="1"/>
  <c r="F158" i="1"/>
  <c r="E158" i="1"/>
  <c r="D158" i="1"/>
  <c r="C158" i="1"/>
  <c r="B158" i="1"/>
  <c r="A158" i="1"/>
  <c r="Z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Z156" i="1"/>
  <c r="R156" i="1"/>
  <c r="O156" i="1"/>
  <c r="N156" i="1"/>
  <c r="M156" i="1"/>
  <c r="J156" i="1"/>
  <c r="I156" i="1"/>
  <c r="H156" i="1"/>
  <c r="G156" i="1"/>
  <c r="E156" i="1"/>
  <c r="D156" i="1"/>
  <c r="C156" i="1"/>
  <c r="B156" i="1"/>
  <c r="A156" i="1"/>
  <c r="Z155" i="1"/>
  <c r="N155" i="1"/>
  <c r="J155" i="1"/>
  <c r="I155" i="1"/>
  <c r="H155" i="1"/>
  <c r="G155" i="1"/>
  <c r="F155" i="1"/>
  <c r="E155" i="1"/>
  <c r="D155" i="1"/>
  <c r="C155" i="1"/>
  <c r="B155" i="1"/>
  <c r="A155" i="1"/>
  <c r="Z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Z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Z152" i="1"/>
  <c r="S152" i="1"/>
  <c r="R152" i="1"/>
  <c r="Q152" i="1"/>
  <c r="P152" i="1"/>
  <c r="O152" i="1"/>
  <c r="N152" i="1"/>
  <c r="M152" i="1"/>
  <c r="L152" i="1"/>
  <c r="J152" i="1"/>
  <c r="I152" i="1"/>
  <c r="H152" i="1"/>
  <c r="G152" i="1"/>
  <c r="F152" i="1"/>
  <c r="E152" i="1"/>
  <c r="D152" i="1"/>
  <c r="C152" i="1"/>
  <c r="B152" i="1"/>
  <c r="A152" i="1"/>
  <c r="Z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Z149" i="1"/>
  <c r="V149" i="1"/>
  <c r="U149" i="1"/>
  <c r="T149" i="1"/>
  <c r="S149" i="1"/>
  <c r="R149" i="1"/>
  <c r="P149" i="1"/>
  <c r="O149" i="1"/>
  <c r="N149" i="1"/>
  <c r="M149" i="1"/>
  <c r="L149" i="1"/>
  <c r="K149" i="1"/>
  <c r="J149" i="1"/>
  <c r="H149" i="1"/>
  <c r="G149" i="1"/>
  <c r="F149" i="1"/>
  <c r="E149" i="1"/>
  <c r="D149" i="1"/>
  <c r="C149" i="1"/>
  <c r="B149" i="1"/>
  <c r="A149" i="1"/>
  <c r="Z148" i="1"/>
  <c r="W148" i="1"/>
  <c r="V148" i="1"/>
  <c r="U148" i="1"/>
  <c r="T148" i="1"/>
  <c r="S148" i="1"/>
  <c r="R148" i="1"/>
  <c r="Q148" i="1"/>
  <c r="P148" i="1"/>
  <c r="O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Z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Z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Z138" i="1"/>
  <c r="N138" i="1"/>
  <c r="M138" i="1"/>
  <c r="J138" i="1"/>
  <c r="I138" i="1"/>
  <c r="H138" i="1"/>
  <c r="G138" i="1"/>
  <c r="E138" i="1"/>
  <c r="D138" i="1"/>
  <c r="C138" i="1"/>
  <c r="B138" i="1"/>
  <c r="A138" i="1"/>
  <c r="Z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Z136" i="1"/>
  <c r="T136" i="1"/>
  <c r="S136" i="1"/>
  <c r="R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Z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Z132" i="1"/>
  <c r="W132" i="1"/>
  <c r="V132" i="1"/>
  <c r="T132" i="1"/>
  <c r="S132" i="1"/>
  <c r="R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Z130" i="1"/>
  <c r="R130" i="1"/>
  <c r="P130" i="1"/>
  <c r="O130" i="1"/>
  <c r="N130" i="1"/>
  <c r="M130" i="1"/>
  <c r="J130" i="1"/>
  <c r="I130" i="1"/>
  <c r="H130" i="1"/>
  <c r="G130" i="1"/>
  <c r="F130" i="1"/>
  <c r="E130" i="1"/>
  <c r="D130" i="1"/>
  <c r="C130" i="1"/>
  <c r="B130" i="1"/>
  <c r="A130" i="1"/>
  <c r="Z128" i="1"/>
  <c r="X128" i="1"/>
  <c r="W128" i="1"/>
  <c r="V128" i="1"/>
  <c r="T128" i="1"/>
  <c r="S128" i="1"/>
  <c r="R128" i="1"/>
  <c r="O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Z126" i="1"/>
  <c r="X126" i="1"/>
  <c r="W126" i="1"/>
  <c r="S126" i="1"/>
  <c r="R126" i="1"/>
  <c r="O126" i="1"/>
  <c r="M126" i="1"/>
  <c r="K126" i="1"/>
  <c r="J126" i="1"/>
  <c r="I126" i="1"/>
  <c r="H126" i="1"/>
  <c r="G126" i="1"/>
  <c r="F126" i="1"/>
  <c r="E126" i="1"/>
  <c r="D126" i="1"/>
  <c r="C126" i="1"/>
  <c r="B126" i="1"/>
  <c r="A126" i="1"/>
  <c r="Z125" i="1"/>
  <c r="V125" i="1"/>
  <c r="U125" i="1"/>
  <c r="T125" i="1"/>
  <c r="S125" i="1"/>
  <c r="R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Z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S123" i="1"/>
  <c r="R123" i="1"/>
  <c r="Q123" i="1"/>
  <c r="P123" i="1"/>
  <c r="O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X121" i="1"/>
  <c r="S121" i="1"/>
  <c r="R121" i="1"/>
  <c r="Q121" i="1"/>
  <c r="P121" i="1"/>
  <c r="O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V120" i="1"/>
  <c r="U120" i="1"/>
  <c r="T120" i="1"/>
  <c r="S120" i="1"/>
  <c r="R120" i="1"/>
  <c r="P120" i="1"/>
  <c r="O120" i="1"/>
  <c r="N120" i="1"/>
  <c r="M120" i="1"/>
  <c r="L120" i="1"/>
  <c r="K120" i="1"/>
  <c r="J120" i="1"/>
  <c r="H120" i="1"/>
  <c r="G120" i="1"/>
  <c r="F120" i="1"/>
  <c r="E120" i="1"/>
  <c r="D120" i="1"/>
  <c r="C120" i="1"/>
  <c r="B120" i="1"/>
  <c r="A120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V115" i="1"/>
  <c r="T115" i="1"/>
  <c r="S115" i="1"/>
  <c r="R115" i="1"/>
  <c r="O115" i="1"/>
  <c r="M115" i="1"/>
  <c r="K115" i="1"/>
  <c r="J115" i="1"/>
  <c r="I115" i="1"/>
  <c r="H115" i="1"/>
  <c r="G115" i="1"/>
  <c r="F115" i="1"/>
  <c r="D115" i="1"/>
  <c r="C115" i="1"/>
  <c r="B115" i="1"/>
  <c r="A115" i="1"/>
  <c r="X114" i="1"/>
  <c r="W114" i="1"/>
  <c r="U114" i="1"/>
  <c r="T114" i="1"/>
  <c r="R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X112" i="1"/>
  <c r="W112" i="1"/>
  <c r="V112" i="1"/>
  <c r="T112" i="1"/>
  <c r="S112" i="1"/>
  <c r="R112" i="1"/>
  <c r="O112" i="1"/>
  <c r="M112" i="1"/>
  <c r="K112" i="1"/>
  <c r="J112" i="1"/>
  <c r="I112" i="1"/>
  <c r="H112" i="1"/>
  <c r="G112" i="1"/>
  <c r="F112" i="1"/>
  <c r="E112" i="1"/>
  <c r="D112" i="1"/>
  <c r="C112" i="1"/>
  <c r="B112" i="1"/>
  <c r="A112" i="1"/>
  <c r="Y110" i="1"/>
  <c r="X110" i="1"/>
  <c r="W110" i="1"/>
  <c r="V110" i="1"/>
  <c r="T110" i="1"/>
  <c r="S110" i="1"/>
  <c r="R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W108" i="1"/>
  <c r="J108" i="1"/>
  <c r="I108" i="1"/>
  <c r="H108" i="1"/>
  <c r="G108" i="1"/>
  <c r="F108" i="1"/>
  <c r="E108" i="1"/>
  <c r="D108" i="1"/>
  <c r="C108" i="1"/>
  <c r="B108" i="1"/>
  <c r="A108" i="1"/>
  <c r="X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W102" i="1"/>
  <c r="R102" i="1"/>
  <c r="Q102" i="1"/>
  <c r="P102" i="1"/>
  <c r="O102" i="1"/>
  <c r="N102" i="1"/>
  <c r="M102" i="1"/>
  <c r="L102" i="1"/>
  <c r="K102" i="1"/>
  <c r="J102" i="1"/>
  <c r="H102" i="1"/>
  <c r="G102" i="1"/>
  <c r="F102" i="1"/>
  <c r="E102" i="1"/>
  <c r="D102" i="1"/>
  <c r="C102" i="1"/>
  <c r="B102" i="1"/>
  <c r="A102" i="1"/>
  <c r="X101" i="1"/>
  <c r="W101" i="1"/>
  <c r="K101" i="1"/>
  <c r="J101" i="1"/>
  <c r="I101" i="1"/>
  <c r="H101" i="1"/>
  <c r="G101" i="1"/>
  <c r="F101" i="1"/>
  <c r="E101" i="1"/>
  <c r="D101" i="1"/>
  <c r="C101" i="1"/>
  <c r="B101" i="1"/>
  <c r="A101" i="1"/>
  <c r="V99" i="1"/>
  <c r="U99" i="1"/>
  <c r="T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V98" i="1"/>
  <c r="T98" i="1"/>
  <c r="S98" i="1"/>
  <c r="R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X93" i="1"/>
  <c r="W93" i="1"/>
  <c r="V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T87" i="1"/>
  <c r="S87" i="1"/>
  <c r="R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O86" i="1"/>
  <c r="K86" i="1"/>
  <c r="J86" i="1"/>
  <c r="I86" i="1"/>
  <c r="H86" i="1"/>
  <c r="G86" i="1"/>
  <c r="F86" i="1"/>
  <c r="E86" i="1"/>
  <c r="D86" i="1"/>
  <c r="C86" i="1"/>
  <c r="B86" i="1"/>
  <c r="A86" i="1"/>
  <c r="X84" i="1"/>
  <c r="W84" i="1"/>
  <c r="V84" i="1"/>
  <c r="U84" i="1"/>
  <c r="T84" i="1"/>
  <c r="S84" i="1"/>
  <c r="R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L83" i="1"/>
  <c r="J83" i="1"/>
  <c r="I83" i="1"/>
  <c r="H83" i="1"/>
  <c r="G83" i="1"/>
  <c r="F83" i="1"/>
  <c r="E83" i="1"/>
  <c r="D83" i="1"/>
  <c r="C83" i="1"/>
  <c r="B83" i="1"/>
  <c r="A83" i="1"/>
  <c r="S82" i="1"/>
  <c r="O82" i="1"/>
  <c r="K82" i="1"/>
  <c r="J82" i="1"/>
  <c r="I82" i="1"/>
  <c r="H82" i="1"/>
  <c r="G82" i="1"/>
  <c r="F82" i="1"/>
  <c r="E82" i="1"/>
  <c r="D82" i="1"/>
  <c r="C82" i="1"/>
  <c r="B82" i="1"/>
  <c r="A82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X79" i="1"/>
  <c r="W79" i="1"/>
  <c r="T79" i="1"/>
  <c r="S79" i="1"/>
  <c r="R79" i="1"/>
  <c r="Q79" i="1"/>
  <c r="P79" i="1"/>
  <c r="O79" i="1"/>
  <c r="N79" i="1"/>
  <c r="M79" i="1"/>
  <c r="L79" i="1"/>
  <c r="K79" i="1"/>
  <c r="J79" i="1"/>
  <c r="H79" i="1"/>
  <c r="G79" i="1"/>
  <c r="F79" i="1"/>
  <c r="E79" i="1"/>
  <c r="D79" i="1"/>
  <c r="C79" i="1"/>
  <c r="B79" i="1"/>
  <c r="A79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H78" i="1"/>
  <c r="G78" i="1"/>
  <c r="F78" i="1"/>
  <c r="E78" i="1"/>
  <c r="D78" i="1"/>
  <c r="C78" i="1"/>
  <c r="B78" i="1"/>
  <c r="A78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W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W69" i="1"/>
  <c r="K69" i="1"/>
  <c r="J69" i="1"/>
  <c r="I69" i="1"/>
  <c r="H69" i="1"/>
  <c r="G69" i="1"/>
  <c r="F69" i="1"/>
  <c r="E69" i="1"/>
  <c r="D69" i="1"/>
  <c r="C69" i="1"/>
  <c r="B69" i="1"/>
  <c r="A69" i="1"/>
  <c r="W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V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V62" i="1"/>
  <c r="T62" i="1"/>
  <c r="S62" i="1"/>
  <c r="R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V61" i="1"/>
  <c r="T61" i="1"/>
  <c r="S61" i="1"/>
  <c r="R61" i="1"/>
  <c r="Q61" i="1"/>
  <c r="P61" i="1"/>
  <c r="O61" i="1"/>
  <c r="N61" i="1"/>
  <c r="L61" i="1"/>
  <c r="K61" i="1"/>
  <c r="J61" i="1"/>
  <c r="H61" i="1"/>
  <c r="G61" i="1"/>
  <c r="F61" i="1"/>
  <c r="E61" i="1"/>
  <c r="D61" i="1"/>
  <c r="C61" i="1"/>
  <c r="B61" i="1"/>
  <c r="A61" i="1"/>
  <c r="W60" i="1"/>
  <c r="V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R59" i="1"/>
  <c r="O59" i="1"/>
  <c r="K59" i="1"/>
  <c r="J59" i="1"/>
  <c r="I59" i="1"/>
  <c r="H59" i="1"/>
  <c r="G59" i="1"/>
  <c r="F59" i="1"/>
  <c r="E59" i="1"/>
  <c r="D59" i="1"/>
  <c r="C59" i="1"/>
  <c r="B59" i="1"/>
  <c r="A59" i="1"/>
  <c r="R58" i="1"/>
  <c r="J58" i="1"/>
  <c r="I58" i="1"/>
  <c r="H58" i="1"/>
  <c r="G58" i="1"/>
  <c r="F58" i="1"/>
  <c r="E58" i="1"/>
  <c r="D58" i="1"/>
  <c r="C58" i="1"/>
  <c r="B58" i="1"/>
  <c r="A58" i="1"/>
  <c r="V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V56" i="1"/>
  <c r="T56" i="1"/>
  <c r="S56" i="1"/>
  <c r="O56" i="1"/>
  <c r="J56" i="1"/>
  <c r="I56" i="1"/>
  <c r="H56" i="1"/>
  <c r="G56" i="1"/>
  <c r="F56" i="1"/>
  <c r="E56" i="1"/>
  <c r="D56" i="1"/>
  <c r="C56" i="1"/>
  <c r="B56" i="1"/>
  <c r="A56" i="1"/>
  <c r="V55" i="1"/>
  <c r="T55" i="1"/>
  <c r="S55" i="1"/>
  <c r="R55" i="1"/>
  <c r="Q55" i="1"/>
  <c r="P55" i="1"/>
  <c r="O55" i="1"/>
  <c r="L55" i="1"/>
  <c r="K55" i="1"/>
  <c r="J55" i="1"/>
  <c r="I55" i="1"/>
  <c r="H55" i="1"/>
  <c r="G55" i="1"/>
  <c r="F55" i="1"/>
  <c r="E55" i="1"/>
  <c r="D55" i="1"/>
  <c r="C55" i="1"/>
  <c r="B55" i="1"/>
  <c r="A55" i="1"/>
  <c r="T54" i="1"/>
  <c r="S54" i="1"/>
  <c r="Q54" i="1"/>
  <c r="P54" i="1"/>
  <c r="O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S53" i="1"/>
  <c r="R53" i="1"/>
  <c r="Q53" i="1"/>
  <c r="P53" i="1"/>
  <c r="O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V52" i="1"/>
  <c r="T52" i="1"/>
  <c r="S52" i="1"/>
  <c r="R52" i="1"/>
  <c r="Q52" i="1"/>
  <c r="P52" i="1"/>
  <c r="O52" i="1"/>
  <c r="N52" i="1"/>
  <c r="M52" i="1"/>
  <c r="L52" i="1"/>
  <c r="K52" i="1"/>
  <c r="J52" i="1"/>
  <c r="H52" i="1"/>
  <c r="G52" i="1"/>
  <c r="F52" i="1"/>
  <c r="E52" i="1"/>
  <c r="D52" i="1"/>
  <c r="C52" i="1"/>
  <c r="B52" i="1"/>
  <c r="A52" i="1"/>
  <c r="R49" i="1"/>
  <c r="O49" i="1"/>
  <c r="N49" i="1"/>
  <c r="L49" i="1"/>
  <c r="J49" i="1"/>
  <c r="I49" i="1"/>
  <c r="H49" i="1"/>
  <c r="G49" i="1"/>
  <c r="F49" i="1"/>
  <c r="E49" i="1"/>
  <c r="D49" i="1"/>
  <c r="C49" i="1"/>
  <c r="B49" i="1"/>
  <c r="A49" i="1"/>
  <c r="R45" i="1"/>
  <c r="O45" i="1"/>
  <c r="M45" i="1"/>
  <c r="K45" i="1"/>
  <c r="J45" i="1"/>
  <c r="I45" i="1"/>
  <c r="H45" i="1"/>
  <c r="G45" i="1"/>
  <c r="F45" i="1"/>
  <c r="E45" i="1"/>
  <c r="D45" i="1"/>
  <c r="C45" i="1"/>
  <c r="B45" i="1"/>
  <c r="A45" i="1"/>
  <c r="R43" i="1"/>
  <c r="O43" i="1"/>
  <c r="M43" i="1"/>
  <c r="L43" i="1"/>
  <c r="J43" i="1"/>
  <c r="I43" i="1"/>
  <c r="H43" i="1"/>
  <c r="G43" i="1"/>
  <c r="F43" i="1"/>
  <c r="E43" i="1"/>
  <c r="D43" i="1"/>
  <c r="C43" i="1"/>
  <c r="B43" i="1"/>
  <c r="A43" i="1"/>
  <c r="Y41" i="1"/>
  <c r="W41" i="1"/>
  <c r="V41" i="1"/>
  <c r="T41" i="1"/>
  <c r="S41" i="1"/>
  <c r="R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W39" i="1"/>
  <c r="R39" i="1"/>
  <c r="O39" i="1"/>
  <c r="M39" i="1"/>
  <c r="L39" i="1"/>
  <c r="J39" i="1"/>
  <c r="I39" i="1"/>
  <c r="H39" i="1"/>
  <c r="G39" i="1"/>
  <c r="F39" i="1"/>
  <c r="E39" i="1"/>
  <c r="D39" i="1"/>
  <c r="C39" i="1"/>
  <c r="B39" i="1"/>
  <c r="A39" i="1"/>
  <c r="V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X33" i="1"/>
  <c r="W33" i="1"/>
  <c r="V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Q28" i="1"/>
  <c r="P28" i="1"/>
  <c r="O28" i="1"/>
  <c r="N28" i="1"/>
  <c r="L28" i="1"/>
  <c r="J28" i="1"/>
  <c r="I28" i="1"/>
  <c r="H28" i="1"/>
  <c r="G28" i="1"/>
  <c r="F28" i="1"/>
  <c r="E28" i="1"/>
  <c r="D28" i="1"/>
  <c r="C28" i="1"/>
  <c r="B28" i="1"/>
  <c r="A28" i="1"/>
  <c r="W27" i="1"/>
  <c r="J27" i="1"/>
  <c r="I27" i="1"/>
  <c r="H27" i="1"/>
  <c r="G27" i="1"/>
  <c r="F27" i="1"/>
  <c r="D27" i="1"/>
  <c r="C27" i="1"/>
  <c r="B27" i="1"/>
  <c r="A27" i="1"/>
  <c r="S25" i="1"/>
  <c r="R25" i="1"/>
  <c r="Q25" i="1"/>
  <c r="P25" i="1"/>
  <c r="O25" i="1"/>
  <c r="N25" i="1"/>
  <c r="L25" i="1"/>
  <c r="K25" i="1"/>
  <c r="J25" i="1"/>
  <c r="I25" i="1"/>
  <c r="H25" i="1"/>
  <c r="G25" i="1"/>
  <c r="F25" i="1"/>
  <c r="E25" i="1"/>
  <c r="D25" i="1"/>
  <c r="C25" i="1"/>
  <c r="B25" i="1"/>
  <c r="A25" i="1"/>
  <c r="R24" i="1"/>
  <c r="O24" i="1"/>
  <c r="M24" i="1"/>
  <c r="L24" i="1"/>
  <c r="J24" i="1"/>
  <c r="I24" i="1"/>
  <c r="H24" i="1"/>
  <c r="G24" i="1"/>
  <c r="F24" i="1"/>
  <c r="E24" i="1"/>
  <c r="D24" i="1"/>
  <c r="C24" i="1"/>
  <c r="B24" i="1"/>
  <c r="A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J17" i="1"/>
  <c r="H17" i="1"/>
  <c r="G17" i="1"/>
  <c r="D17" i="1"/>
  <c r="C17" i="1"/>
  <c r="B17" i="1"/>
  <c r="A17" i="1"/>
  <c r="S16" i="1"/>
  <c r="R16" i="1"/>
  <c r="J16" i="1"/>
  <c r="H16" i="1"/>
  <c r="G16" i="1"/>
  <c r="D16" i="1"/>
  <c r="C16" i="1"/>
  <c r="B16" i="1"/>
  <c r="A16" i="1"/>
  <c r="J14" i="1"/>
  <c r="H14" i="1"/>
  <c r="G14" i="1"/>
  <c r="D14" i="1"/>
  <c r="C14" i="1"/>
  <c r="B14" i="1"/>
  <c r="A14" i="1"/>
  <c r="J13" i="1"/>
  <c r="H13" i="1"/>
  <c r="G13" i="1"/>
  <c r="D13" i="1"/>
  <c r="C13" i="1"/>
  <c r="B13" i="1"/>
  <c r="A13" i="1"/>
  <c r="J10" i="1"/>
  <c r="H10" i="1"/>
  <c r="G10" i="1"/>
  <c r="D10" i="1"/>
  <c r="C10" i="1"/>
  <c r="B10" i="1"/>
  <c r="A10" i="1"/>
  <c r="J9" i="1"/>
  <c r="H9" i="1"/>
  <c r="G9" i="1"/>
  <c r="D9" i="1"/>
  <c r="C9" i="1"/>
  <c r="B9" i="1"/>
  <c r="A9" i="1"/>
  <c r="H8" i="1"/>
  <c r="G8" i="1"/>
  <c r="D8" i="1"/>
  <c r="C8" i="1"/>
  <c r="B8" i="1"/>
  <c r="A8" i="1"/>
  <c r="L7" i="1"/>
  <c r="J7" i="1"/>
  <c r="I7" i="1"/>
  <c r="H7" i="1"/>
  <c r="G7" i="1"/>
  <c r="D7" i="1"/>
  <c r="C7" i="1"/>
  <c r="B7" i="1"/>
  <c r="A7" i="1"/>
  <c r="L6" i="1"/>
  <c r="J6" i="1"/>
  <c r="I6" i="1"/>
  <c r="H6" i="1"/>
  <c r="G6" i="1"/>
  <c r="D6" i="1"/>
  <c r="C6" i="1"/>
  <c r="B6" i="1"/>
  <c r="A6" i="1"/>
  <c r="Y5" i="1"/>
  <c r="X5" i="1"/>
  <c r="W5" i="1"/>
  <c r="R5" i="1"/>
  <c r="J5" i="1"/>
  <c r="H5" i="1"/>
  <c r="G5" i="1"/>
  <c r="F5" i="1"/>
  <c r="D5" i="1"/>
  <c r="C5" i="1"/>
  <c r="B5" i="1"/>
  <c r="A5" i="1"/>
  <c r="J4" i="1"/>
  <c r="H4" i="1"/>
  <c r="G4" i="1"/>
  <c r="D4" i="1"/>
  <c r="C4" i="1"/>
  <c r="B4" i="1"/>
  <c r="A4" i="1"/>
  <c r="L3" i="1"/>
  <c r="J3" i="1"/>
  <c r="I3" i="1"/>
  <c r="G3" i="1"/>
  <c r="D3" i="1"/>
  <c r="C3" i="1"/>
  <c r="B3" i="1"/>
  <c r="A3" i="1"/>
  <c r="L2" i="1"/>
  <c r="J2" i="1"/>
  <c r="I2" i="1"/>
  <c r="H2" i="1"/>
  <c r="G2" i="1"/>
  <c r="D2" i="1"/>
  <c r="C2" i="1"/>
  <c r="B2" i="1"/>
  <c r="A2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75AB-02AB-4E35-A19A-F09C1E4E3BD8}">
  <sheetPr>
    <outlinePr summaryBelow="0" summaryRight="0"/>
  </sheetPr>
  <dimension ref="A1:Z1000"/>
  <sheetViews>
    <sheetView tabSelected="1" topLeftCell="A229" workbookViewId="0"/>
  </sheetViews>
  <sheetFormatPr defaultColWidth="14.44140625" defaultRowHeight="15" customHeight="1" x14ac:dyDescent="0.3"/>
  <sheetData>
    <row r="1" spans="1:26" x14ac:dyDescent="0.3">
      <c r="A1" s="1" t="str">
        <f ca="1">IFERROR(__xludf.DUMMYFUNCTION("IMPORTRANGE(""https://docs.google.com/spreadsheets/d/1C8D4xOVfkwxN6A_mRtp5Lxjs8iJO2d5noJuTfWg4TuM/edit#gid=527971444"",""Delivery!B:AA"")"),"Trans Reference")</f>
        <v>Trans Reference</v>
      </c>
      <c r="B1" s="1" t="str">
        <f ca="1">IFERROR(__xludf.DUMMYFUNCTION("""COMPUTED_VALUE"""),"Client")</f>
        <v>Client</v>
      </c>
      <c r="C1" s="1" t="str">
        <f ca="1">IFERROR(__xludf.DUMMYFUNCTION("""COMPUTED_VALUE"""),"Status")</f>
        <v>Status</v>
      </c>
      <c r="D1" s="1" t="str">
        <f ca="1">IFERROR(__xludf.DUMMYFUNCTION("""COMPUTED_VALUE"""),"Date Dispatched")</f>
        <v>Date Dispatched</v>
      </c>
      <c r="E1" s="1" t="str">
        <f ca="1">IFERROR(__xludf.DUMMYFUNCTION("""COMPUTED_VALUE"""),"Port of Loading")</f>
        <v>Port of Loading</v>
      </c>
      <c r="F1" s="1" t="str">
        <f ca="1">IFERROR(__xludf.DUMMYFUNCTION("""COMPUTED_VALUE"""),"Port of Discharge")</f>
        <v>Port of Discharge</v>
      </c>
      <c r="G1" s="1" t="str">
        <f ca="1">IFERROR(__xludf.DUMMYFUNCTION("""COMPUTED_VALUE"""),"ETA")</f>
        <v>ETA</v>
      </c>
      <c r="H1" s="1" t="str">
        <f ca="1">IFERROR(__xludf.DUMMYFUNCTION("""COMPUTED_VALUE"""),"Actual Date of Delivery")</f>
        <v>Actual Date of Delivery</v>
      </c>
      <c r="I1" s="1" t="str">
        <f ca="1">IFERROR(__xludf.DUMMYFUNCTION("""COMPUTED_VALUE"""),"Co-Loader")</f>
        <v>Co-Loader</v>
      </c>
      <c r="J1" s="1" t="str">
        <f ca="1">IFERROR(__xludf.DUMMYFUNCTION("""COMPUTED_VALUE"""),"Freight Option")</f>
        <v>Freight Option</v>
      </c>
      <c r="K1" s="1" t="str">
        <f ca="1">IFERROR(__xludf.DUMMYFUNCTION("""COMPUTED_VALUE"""),"Carrier")</f>
        <v>Carrier</v>
      </c>
      <c r="L1" s="1" t="str">
        <f ca="1">IFERROR(__xludf.DUMMYFUNCTION("""COMPUTED_VALUE"""),"Vessel")</f>
        <v>Vessel</v>
      </c>
      <c r="M1" s="1" t="str">
        <f ca="1">IFERROR(__xludf.DUMMYFUNCTION("""COMPUTED_VALUE"""),"Master Bill of Lading")</f>
        <v>Master Bill of Lading</v>
      </c>
      <c r="N1" s="1" t="str">
        <f ca="1">IFERROR(__xludf.DUMMYFUNCTION("""COMPUTED_VALUE"""),"House Bill of Lading")</f>
        <v>House Bill of Lading</v>
      </c>
      <c r="O1" s="1" t="str">
        <f ca="1">IFERROR(__xludf.DUMMYFUNCTION("""COMPUTED_VALUE"""),"Release Type")</f>
        <v>Release Type</v>
      </c>
      <c r="P1" s="1" t="str">
        <f ca="1">IFERROR(__xludf.DUMMYFUNCTION("""COMPUTED_VALUE"""),"Container No")</f>
        <v>Container No</v>
      </c>
      <c r="Q1" s="1" t="str">
        <f ca="1">IFERROR(__xludf.DUMMYFUNCTION("""COMPUTED_VALUE"""),"Seal No")</f>
        <v>Seal No</v>
      </c>
      <c r="R1" s="1" t="str">
        <f ca="1">IFERROR(__xludf.DUMMYFUNCTION("""COMPUTED_VALUE"""),"Local Handler")</f>
        <v>Local Handler</v>
      </c>
      <c r="S1" s="1" t="str">
        <f ca="1">IFERROR(__xludf.DUMMYFUNCTION("""COMPUTED_VALUE"""),"Local Carrier")</f>
        <v>Local Carrier</v>
      </c>
      <c r="T1" s="1" t="str">
        <f ca="1">IFERROR(__xludf.DUMMYFUNCTION("""COMPUTED_VALUE"""),"Driver Name")</f>
        <v>Driver Name</v>
      </c>
      <c r="U1" s="1" t="str">
        <f ca="1">IFERROR(__xludf.DUMMYFUNCTION("""COMPUTED_VALUE"""),"Driver License / ID")</f>
        <v>Driver License / ID</v>
      </c>
      <c r="V1" s="1" t="str">
        <f ca="1">IFERROR(__xludf.DUMMYFUNCTION("""COMPUTED_VALUE"""),"Vehicle Registration")</f>
        <v>Vehicle Registration</v>
      </c>
      <c r="W1" s="1" t="str">
        <f ca="1">IFERROR(__xludf.DUMMYFUNCTION("""COMPUTED_VALUE"""),"Comments")</f>
        <v>Comments</v>
      </c>
      <c r="X1" s="1" t="str">
        <f ca="1">IFERROR(__xludf.DUMMYFUNCTION("""COMPUTED_VALUE"""),"Last check-in")</f>
        <v>Last check-in</v>
      </c>
      <c r="Y1" s="1" t="str">
        <f ca="1">IFERROR(__xludf.DUMMYFUNCTION("""COMPUTED_VALUE"""),"Location Check-in")</f>
        <v>Location Check-in</v>
      </c>
      <c r="Z1" s="1" t="str">
        <f ca="1">IFERROR(__xludf.DUMMYFUNCTION("""COMPUTED_VALUE"""),"Days to arrival")</f>
        <v>Days to arrival</v>
      </c>
    </row>
    <row r="2" spans="1:26" x14ac:dyDescent="0.3">
      <c r="A2" s="1" t="str">
        <f ca="1">IFERROR(__xludf.DUMMYFUNCTION("""COMPUTED_VALUE"""),"DL00001")</f>
        <v>DL00001</v>
      </c>
      <c r="B2" s="1" t="str">
        <f ca="1">IFERROR(__xludf.DUMMYFUNCTION("""COMPUTED_VALUE"""),"Top Tech Catering")</f>
        <v>Top Tech Catering</v>
      </c>
      <c r="C2" s="1" t="str">
        <f ca="1">IFERROR(__xludf.DUMMYFUNCTION("""COMPUTED_VALUE"""),"Delivered")</f>
        <v>Delivered</v>
      </c>
      <c r="D2" s="2">
        <f ca="1">IFERROR(__xludf.DUMMYFUNCTION("""COMPUTED_VALUE"""),44869)</f>
        <v>44869</v>
      </c>
      <c r="E2" s="1"/>
      <c r="F2" s="1"/>
      <c r="G2" s="2">
        <f ca="1">IFERROR(__xludf.DUMMYFUNCTION("""COMPUTED_VALUE"""),44904)</f>
        <v>44904</v>
      </c>
      <c r="H2" s="2">
        <f ca="1">IFERROR(__xludf.DUMMYFUNCTION("""COMPUTED_VALUE"""),44909)</f>
        <v>44909</v>
      </c>
      <c r="I2" s="1" t="str">
        <f ca="1">IFERROR(__xludf.DUMMYFUNCTION("""COMPUTED_VALUE"""),"OBD Logistics")</f>
        <v>OBD Logistics</v>
      </c>
      <c r="J2" s="1" t="str">
        <f ca="1">IFERROR(__xludf.DUMMYFUNCTION("""COMPUTED_VALUE"""),"Sea")</f>
        <v>Sea</v>
      </c>
      <c r="K2" s="1"/>
      <c r="L2" s="1" t="str">
        <f ca="1">IFERROR(__xludf.DUMMYFUNCTION("""COMPUTED_VALUE"""),"OOCL")</f>
        <v>OOCL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 t="str">
        <f ca="1">IFERROR(__xludf.DUMMYFUNCTION("""COMPUTED_VALUE"""),"DL00002")</f>
        <v>DL00002</v>
      </c>
      <c r="B3" s="1" t="str">
        <f ca="1">IFERROR(__xludf.DUMMYFUNCTION("""COMPUTED_VALUE"""),"Top Tech Catering")</f>
        <v>Top Tech Catering</v>
      </c>
      <c r="C3" s="1" t="str">
        <f ca="1">IFERROR(__xludf.DUMMYFUNCTION("""COMPUTED_VALUE"""),"Delivered")</f>
        <v>Delivered</v>
      </c>
      <c r="D3" s="2">
        <f ca="1">IFERROR(__xludf.DUMMYFUNCTION("""COMPUTED_VALUE"""),44883)</f>
        <v>44883</v>
      </c>
      <c r="E3" s="1"/>
      <c r="F3" s="1"/>
      <c r="G3" s="2">
        <f ca="1">IFERROR(__xludf.DUMMYFUNCTION("""COMPUTED_VALUE"""),44895)</f>
        <v>44895</v>
      </c>
      <c r="H3" s="1"/>
      <c r="I3" s="1" t="str">
        <f ca="1">IFERROR(__xludf.DUMMYFUNCTION("""COMPUTED_VALUE"""),"OBD Logistics")</f>
        <v>OBD Logistics</v>
      </c>
      <c r="J3" s="1" t="str">
        <f ca="1">IFERROR(__xludf.DUMMYFUNCTION("""COMPUTED_VALUE"""),"Sea")</f>
        <v>Sea</v>
      </c>
      <c r="K3" s="1"/>
      <c r="L3" s="1" t="str">
        <f ca="1">IFERROR(__xludf.DUMMYFUNCTION("""COMPUTED_VALUE"""),"OOCL")</f>
        <v>OOCL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 t="str">
        <f ca="1">IFERROR(__xludf.DUMMYFUNCTION("""COMPUTED_VALUE"""),"DL00003")</f>
        <v>DL00003</v>
      </c>
      <c r="B4" s="1" t="str">
        <f ca="1">IFERROR(__xludf.DUMMYFUNCTION("""COMPUTED_VALUE"""),"Mavhuso Baloyi")</f>
        <v>Mavhuso Baloyi</v>
      </c>
      <c r="C4" s="1" t="str">
        <f ca="1">IFERROR(__xludf.DUMMYFUNCTION("""COMPUTED_VALUE"""),"Delivered")</f>
        <v>Delivered</v>
      </c>
      <c r="D4" s="2">
        <f ca="1">IFERROR(__xludf.DUMMYFUNCTION("""COMPUTED_VALUE"""),44913)</f>
        <v>44913</v>
      </c>
      <c r="E4" s="1"/>
      <c r="F4" s="1"/>
      <c r="G4" s="2">
        <f ca="1">IFERROR(__xludf.DUMMYFUNCTION("""COMPUTED_VALUE"""),44935)</f>
        <v>44935</v>
      </c>
      <c r="H4" s="3">
        <f ca="1">IFERROR(__xludf.DUMMYFUNCTION("""COMPUTED_VALUE"""),45170)</f>
        <v>45170</v>
      </c>
      <c r="I4" s="1"/>
      <c r="J4" s="1" t="str">
        <f ca="1">IFERROR(__xludf.DUMMYFUNCTION("""COMPUTED_VALUE"""),"Sea")</f>
        <v>Sea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 t="str">
        <f ca="1">IFERROR(__xludf.DUMMYFUNCTION("""COMPUTED_VALUE"""),"DL00004")</f>
        <v>DL00004</v>
      </c>
      <c r="B5" s="1" t="str">
        <f ca="1">IFERROR(__xludf.DUMMYFUNCTION("""COMPUTED_VALUE"""),"Tania Kabeya")</f>
        <v>Tania Kabeya</v>
      </c>
      <c r="C5" s="1" t="str">
        <f ca="1">IFERROR(__xludf.DUMMYFUNCTION("""COMPUTED_VALUE"""),"Delivered")</f>
        <v>Delivered</v>
      </c>
      <c r="D5" s="2">
        <f ca="1">IFERROR(__xludf.DUMMYFUNCTION("""COMPUTED_VALUE"""),44938)</f>
        <v>44938</v>
      </c>
      <c r="E5" s="1"/>
      <c r="F5" s="1" t="str">
        <f ca="1">IFERROR(__xludf.DUMMYFUNCTION("""COMPUTED_VALUE"""),"Waiting for SARS Clearance")</f>
        <v>Waiting for SARS Clearance</v>
      </c>
      <c r="G5" s="3">
        <f ca="1">IFERROR(__xludf.DUMMYFUNCTION("""COMPUTED_VALUE"""),45030)</f>
        <v>45030</v>
      </c>
      <c r="H5" s="3">
        <f ca="1">IFERROR(__xludf.DUMMYFUNCTION("""COMPUTED_VALUE"""),45030)</f>
        <v>45030</v>
      </c>
      <c r="I5" s="1"/>
      <c r="J5" s="1" t="str">
        <f ca="1">IFERROR(__xludf.DUMMYFUNCTION("""COMPUTED_VALUE"""),"Sea")</f>
        <v>Sea</v>
      </c>
      <c r="K5" s="1"/>
      <c r="L5" s="1"/>
      <c r="M5" s="1"/>
      <c r="N5" s="1"/>
      <c r="O5" s="1"/>
      <c r="P5" s="1"/>
      <c r="Q5" s="1"/>
      <c r="R5" s="1" t="str">
        <f ca="1">IFERROR(__xludf.DUMMYFUNCTION("""COMPUTED_VALUE"""),"Menzies International")</f>
        <v>Menzies International</v>
      </c>
      <c r="S5" s="1"/>
      <c r="T5" s="1"/>
      <c r="U5" s="1"/>
      <c r="V5" s="1"/>
      <c r="W5" s="1" t="str">
        <f ca="1">IFERROR(__xludf.DUMMYFUNCTION("""COMPUTED_VALUE"""),"Waiting for SARS Approval")</f>
        <v>Waiting for SARS Approval</v>
      </c>
      <c r="X5" s="1" t="str">
        <f ca="1">IFERROR(__xludf.DUMMYFUNCTION("""COMPUTED_VALUE"""),"14/04/2023")</f>
        <v>14/04/2023</v>
      </c>
      <c r="Y5" s="1" t="str">
        <f ca="1">IFERROR(__xludf.DUMMYFUNCTION("""COMPUTED_VALUE"""),"CHC Warehouse")</f>
        <v>CHC Warehouse</v>
      </c>
      <c r="Z5" s="1"/>
    </row>
    <row r="6" spans="1:26" x14ac:dyDescent="0.3">
      <c r="A6" s="1" t="str">
        <f ca="1">IFERROR(__xludf.DUMMYFUNCTION("""COMPUTED_VALUE"""),"DL00005")</f>
        <v>DL00005</v>
      </c>
      <c r="B6" s="1" t="str">
        <f ca="1">IFERROR(__xludf.DUMMYFUNCTION("""COMPUTED_VALUE"""),"Bryan")</f>
        <v>Bryan</v>
      </c>
      <c r="C6" s="1" t="str">
        <f ca="1">IFERROR(__xludf.DUMMYFUNCTION("""COMPUTED_VALUE"""),"Delivered")</f>
        <v>Delivered</v>
      </c>
      <c r="D6" s="2">
        <f ca="1">IFERROR(__xludf.DUMMYFUNCTION("""COMPUTED_VALUE"""),44911)</f>
        <v>44911</v>
      </c>
      <c r="E6" s="1"/>
      <c r="F6" s="1"/>
      <c r="G6" s="2">
        <f ca="1">IFERROR(__xludf.DUMMYFUNCTION("""COMPUTED_VALUE"""),44931)</f>
        <v>44931</v>
      </c>
      <c r="H6" s="2">
        <f ca="1">IFERROR(__xludf.DUMMYFUNCTION("""COMPUTED_VALUE"""),44931)</f>
        <v>44931</v>
      </c>
      <c r="I6" s="1" t="str">
        <f ca="1">IFERROR(__xludf.DUMMYFUNCTION("""COMPUTED_VALUE"""),"OBD Logistics")</f>
        <v>OBD Logistics</v>
      </c>
      <c r="J6" s="1" t="str">
        <f ca="1">IFERROR(__xludf.DUMMYFUNCTION("""COMPUTED_VALUE"""),"Air")</f>
        <v>Air</v>
      </c>
      <c r="K6" s="1"/>
      <c r="L6" s="1" t="str">
        <f ca="1">IFERROR(__xludf.DUMMYFUNCTION("""COMPUTED_VALUE"""),"UPS")</f>
        <v>UPS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 t="str">
        <f ca="1">IFERROR(__xludf.DUMMYFUNCTION("""COMPUTED_VALUE"""),"DL00006")</f>
        <v>DL00006</v>
      </c>
      <c r="B7" s="1" t="str">
        <f ca="1">IFERROR(__xludf.DUMMYFUNCTION("""COMPUTED_VALUE"""),"African Technopreneurs")</f>
        <v>African Technopreneurs</v>
      </c>
      <c r="C7" s="1" t="str">
        <f ca="1">IFERROR(__xludf.DUMMYFUNCTION("""COMPUTED_VALUE"""),"Delivered")</f>
        <v>Delivered</v>
      </c>
      <c r="D7" s="2">
        <f ca="1">IFERROR(__xludf.DUMMYFUNCTION("""COMPUTED_VALUE"""),44924)</f>
        <v>44924</v>
      </c>
      <c r="E7" s="1"/>
      <c r="F7" s="1"/>
      <c r="G7" s="3">
        <f ca="1">IFERROR(__xludf.DUMMYFUNCTION("""COMPUTED_VALUE"""),44930)</f>
        <v>44930</v>
      </c>
      <c r="H7" s="2">
        <f ca="1">IFERROR(__xludf.DUMMYFUNCTION("""COMPUTED_VALUE"""),44930)</f>
        <v>44930</v>
      </c>
      <c r="I7" s="1" t="str">
        <f ca="1">IFERROR(__xludf.DUMMYFUNCTION("""COMPUTED_VALUE"""),"OBD Logistics")</f>
        <v>OBD Logistics</v>
      </c>
      <c r="J7" s="1" t="str">
        <f ca="1">IFERROR(__xludf.DUMMYFUNCTION("""COMPUTED_VALUE"""),"Air")</f>
        <v>Air</v>
      </c>
      <c r="K7" s="1"/>
      <c r="L7" s="1" t="str">
        <f ca="1">IFERROR(__xludf.DUMMYFUNCTION("""COMPUTED_VALUE"""),"FEDEX EXPRESS")</f>
        <v>FEDEX EXPRESS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 t="str">
        <f ca="1">IFERROR(__xludf.DUMMYFUNCTION("""COMPUTED_VALUE"""),"DL00007")</f>
        <v>DL00007</v>
      </c>
      <c r="B8" s="1" t="str">
        <f ca="1">IFERROR(__xludf.DUMMYFUNCTION("""COMPUTED_VALUE"""),"LCS Engineering")</f>
        <v>LCS Engineering</v>
      </c>
      <c r="C8" s="1" t="str">
        <f ca="1">IFERROR(__xludf.DUMMYFUNCTION("""COMPUTED_VALUE"""),"Delivered")</f>
        <v>Delivered</v>
      </c>
      <c r="D8" s="3">
        <f ca="1">IFERROR(__xludf.DUMMYFUNCTION("""COMPUTED_VALUE"""),44852)</f>
        <v>44852</v>
      </c>
      <c r="E8" s="1"/>
      <c r="F8" s="1"/>
      <c r="G8" s="3">
        <f ca="1">IFERROR(__xludf.DUMMYFUNCTION("""COMPUTED_VALUE"""),44883)</f>
        <v>44883</v>
      </c>
      <c r="H8" s="3">
        <f ca="1">IFERROR(__xludf.DUMMYFUNCTION("""COMPUTED_VALUE"""),44883)</f>
        <v>44883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tr">
        <f ca="1">IFERROR(__xludf.DUMMYFUNCTION("""COMPUTED_VALUE"""),"DL00008")</f>
        <v>DL00008</v>
      </c>
      <c r="B9" s="1" t="str">
        <f ca="1">IFERROR(__xludf.DUMMYFUNCTION("""COMPUTED_VALUE"""),"Edward Kriel")</f>
        <v>Edward Kriel</v>
      </c>
      <c r="C9" s="1" t="str">
        <f ca="1">IFERROR(__xludf.DUMMYFUNCTION("""COMPUTED_VALUE"""),"Delivered")</f>
        <v>Delivered</v>
      </c>
      <c r="D9" s="2">
        <f ca="1">IFERROR(__xludf.DUMMYFUNCTION("""COMPUTED_VALUE"""),44591)</f>
        <v>44591</v>
      </c>
      <c r="E9" s="1"/>
      <c r="F9" s="1"/>
      <c r="G9" s="3">
        <f ca="1">IFERROR(__xludf.DUMMYFUNCTION("""COMPUTED_VALUE"""),45041)</f>
        <v>45041</v>
      </c>
      <c r="H9" s="3">
        <f ca="1">IFERROR(__xludf.DUMMYFUNCTION("""COMPUTED_VALUE"""),45042)</f>
        <v>45042</v>
      </c>
      <c r="I9" s="1"/>
      <c r="J9" s="1" t="str">
        <f ca="1">IFERROR(__xludf.DUMMYFUNCTION("""COMPUTED_VALUE"""),"Sea")</f>
        <v>Sea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 t="str">
        <f ca="1">IFERROR(__xludf.DUMMYFUNCTION("""COMPUTED_VALUE"""),"DL00009")</f>
        <v>DL00009</v>
      </c>
      <c r="B10" s="1" t="str">
        <f ca="1">IFERROR(__xludf.DUMMYFUNCTION("""COMPUTED_VALUE"""),"Shaflynn Herman")</f>
        <v>Shaflynn Herman</v>
      </c>
      <c r="C10" s="1" t="str">
        <f ca="1">IFERROR(__xludf.DUMMYFUNCTION("""COMPUTED_VALUE"""),"Delivered")</f>
        <v>Delivered</v>
      </c>
      <c r="D10" s="3">
        <f ca="1">IFERROR(__xludf.DUMMYFUNCTION("""COMPUTED_VALUE"""),44965)</f>
        <v>44965</v>
      </c>
      <c r="E10" s="1"/>
      <c r="F10" s="1"/>
      <c r="G10" s="3">
        <f ca="1">IFERROR(__xludf.DUMMYFUNCTION("""COMPUTED_VALUE"""),45003)</f>
        <v>45003</v>
      </c>
      <c r="H10" s="3">
        <f ca="1">IFERROR(__xludf.DUMMYFUNCTION("""COMPUTED_VALUE"""),44993)</f>
        <v>44993</v>
      </c>
      <c r="I10" s="1"/>
      <c r="J10" s="1" t="str">
        <f ca="1">IFERROR(__xludf.DUMMYFUNCTION("""COMPUTED_VALUE"""),"Sea")</f>
        <v>Sea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 t="str">
        <f ca="1">IFERROR(__xludf.DUMMYFUNCTION("""COMPUTED_VALUE"""),"DL13")</f>
        <v>DL13</v>
      </c>
      <c r="B13" s="1" t="str">
        <f ca="1">IFERROR(__xludf.DUMMYFUNCTION("""COMPUTED_VALUE"""),"Valdette Muller")</f>
        <v>Valdette Muller</v>
      </c>
      <c r="C13" s="1" t="str">
        <f ca="1">IFERROR(__xludf.DUMMYFUNCTION("""COMPUTED_VALUE"""),"Delivered")</f>
        <v>Delivered</v>
      </c>
      <c r="D13" s="3">
        <f ca="1">IFERROR(__xludf.DUMMYFUNCTION("""COMPUTED_VALUE"""),45040)</f>
        <v>45040</v>
      </c>
      <c r="E13" s="1"/>
      <c r="F13" s="1"/>
      <c r="G13" s="3">
        <f ca="1">IFERROR(__xludf.DUMMYFUNCTION("""COMPUTED_VALUE"""),45055)</f>
        <v>45055</v>
      </c>
      <c r="H13" s="3">
        <f ca="1">IFERROR(__xludf.DUMMYFUNCTION("""COMPUTED_VALUE"""),45055)</f>
        <v>45055</v>
      </c>
      <c r="I13" s="1"/>
      <c r="J13" s="1" t="str">
        <f ca="1">IFERROR(__xludf.DUMMYFUNCTION("""COMPUTED_VALUE"""),"Sea")</f>
        <v>Sea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tr">
        <f ca="1">IFERROR(__xludf.DUMMYFUNCTION("""COMPUTED_VALUE"""),"DL14")</f>
        <v>DL14</v>
      </c>
      <c r="B14" s="1" t="str">
        <f ca="1">IFERROR(__xludf.DUMMYFUNCTION("""COMPUTED_VALUE"""),"Top tech Catering")</f>
        <v>Top tech Catering</v>
      </c>
      <c r="C14" s="1" t="str">
        <f ca="1">IFERROR(__xludf.DUMMYFUNCTION("""COMPUTED_VALUE"""),"Delivered")</f>
        <v>Delivered</v>
      </c>
      <c r="D14" s="3">
        <f ca="1">IFERROR(__xludf.DUMMYFUNCTION("""COMPUTED_VALUE"""),45049)</f>
        <v>45049</v>
      </c>
      <c r="E14" s="1"/>
      <c r="F14" s="1"/>
      <c r="G14" s="3">
        <f ca="1">IFERROR(__xludf.DUMMYFUNCTION("""COMPUTED_VALUE"""),45070)</f>
        <v>45070</v>
      </c>
      <c r="H14" s="3">
        <f ca="1">IFERROR(__xludf.DUMMYFUNCTION("""COMPUTED_VALUE"""),45072)</f>
        <v>45072</v>
      </c>
      <c r="I14" s="1"/>
      <c r="J14" s="1" t="str">
        <f ca="1">IFERROR(__xludf.DUMMYFUNCTION("""COMPUTED_VALUE"""),"Sea")</f>
        <v>Sea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tr">
        <f ca="1">IFERROR(__xludf.DUMMYFUNCTION("""COMPUTED_VALUE"""),"DL15")</f>
        <v>DL15</v>
      </c>
      <c r="B16" s="1" t="str">
        <f ca="1">IFERROR(__xludf.DUMMYFUNCTION("""COMPUTED_VALUE"""),"Auto Resus Shop")</f>
        <v>Auto Resus Shop</v>
      </c>
      <c r="C16" s="1" t="str">
        <f ca="1">IFERROR(__xludf.DUMMYFUNCTION("""COMPUTED_VALUE"""),"Delivered")</f>
        <v>Delivered</v>
      </c>
      <c r="D16" s="3">
        <f ca="1">IFERROR(__xludf.DUMMYFUNCTION("""COMPUTED_VALUE"""),45055)</f>
        <v>45055</v>
      </c>
      <c r="E16" s="1"/>
      <c r="F16" s="1"/>
      <c r="G16" s="3">
        <f ca="1">IFERROR(__xludf.DUMMYFUNCTION("""COMPUTED_VALUE"""),45070)</f>
        <v>45070</v>
      </c>
      <c r="H16" s="3">
        <f ca="1">IFERROR(__xludf.DUMMYFUNCTION("""COMPUTED_VALUE"""),45070)</f>
        <v>45070</v>
      </c>
      <c r="I16" s="1"/>
      <c r="J16" s="1" t="str">
        <f ca="1">IFERROR(__xludf.DUMMYFUNCTION("""COMPUTED_VALUE"""),"Road")</f>
        <v>Road</v>
      </c>
      <c r="K16" s="1"/>
      <c r="L16" s="1"/>
      <c r="M16" s="1"/>
      <c r="N16" s="1"/>
      <c r="O16" s="1"/>
      <c r="P16" s="1"/>
      <c r="Q16" s="1"/>
      <c r="R16" s="1" t="str">
        <f ca="1">IFERROR(__xludf.DUMMYFUNCTION("""COMPUTED_VALUE"""),"Afristar")</f>
        <v>Afristar</v>
      </c>
      <c r="S16" s="1" t="str">
        <f ca="1">IFERROR(__xludf.DUMMYFUNCTION("""COMPUTED_VALUE"""),"Courier Guy")</f>
        <v>Courier Guy</v>
      </c>
      <c r="T16" s="1"/>
      <c r="U16" s="1"/>
      <c r="V16" s="1"/>
      <c r="W16" s="1"/>
      <c r="X16" s="1"/>
      <c r="Y16" s="1"/>
      <c r="Z16" s="1"/>
    </row>
    <row r="17" spans="1:26" x14ac:dyDescent="0.3">
      <c r="A17" s="1" t="str">
        <f ca="1">IFERROR(__xludf.DUMMYFUNCTION("""COMPUTED_VALUE"""),"DL20")</f>
        <v>DL20</v>
      </c>
      <c r="B17" s="1" t="str">
        <f ca="1">IFERROR(__xludf.DUMMYFUNCTION("""COMPUTED_VALUE"""),"DMD Healthcare")</f>
        <v>DMD Healthcare</v>
      </c>
      <c r="C17" s="1" t="str">
        <f ca="1">IFERROR(__xludf.DUMMYFUNCTION("""COMPUTED_VALUE"""),"Delivered")</f>
        <v>Delivered</v>
      </c>
      <c r="D17" s="3">
        <f ca="1">IFERROR(__xludf.DUMMYFUNCTION("""COMPUTED_VALUE"""),45106)</f>
        <v>45106</v>
      </c>
      <c r="E17" s="1"/>
      <c r="F17" s="1"/>
      <c r="G17" s="3">
        <f ca="1">IFERROR(__xludf.DUMMYFUNCTION("""COMPUTED_VALUE"""),45121)</f>
        <v>45121</v>
      </c>
      <c r="H17" s="3">
        <f ca="1">IFERROR(__xludf.DUMMYFUNCTION("""COMPUTED_VALUE"""),45110)</f>
        <v>45110</v>
      </c>
      <c r="I17" s="1"/>
      <c r="J17" s="1" t="str">
        <f ca="1">IFERROR(__xludf.DUMMYFUNCTION("""COMPUTED_VALUE"""),"Road")</f>
        <v>Road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 t="str">
        <f ca="1">IFERROR(__xludf.DUMMYFUNCTION("""COMPUTED_VALUE"""),"DL22")</f>
        <v>DL22</v>
      </c>
      <c r="B23" s="1" t="str">
        <f ca="1">IFERROR(__xludf.DUMMYFUNCTION("""COMPUTED_VALUE"""),"Nicholson")</f>
        <v>Nicholson</v>
      </c>
      <c r="C23" s="1" t="str">
        <f ca="1">IFERROR(__xludf.DUMMYFUNCTION("""COMPUTED_VALUE"""),"Delivered")</f>
        <v>Delivered</v>
      </c>
      <c r="D23" s="3">
        <f ca="1">IFERROR(__xludf.DUMMYFUNCTION("""COMPUTED_VALUE"""),45190)</f>
        <v>45190</v>
      </c>
      <c r="E23" s="1" t="str">
        <f ca="1">IFERROR(__xludf.DUMMYFUNCTION("""COMPUTED_VALUE"""),"HONG-KONG")</f>
        <v>HONG-KONG</v>
      </c>
      <c r="F23" s="1" t="str">
        <f ca="1">IFERROR(__xludf.DUMMYFUNCTION("""COMPUTED_VALUE"""),"JOHANNESBURG")</f>
        <v>JOHANNESBURG</v>
      </c>
      <c r="G23" s="3">
        <f ca="1">IFERROR(__xludf.DUMMYFUNCTION("""COMPUTED_VALUE"""),44825)</f>
        <v>44825</v>
      </c>
      <c r="H23" s="3">
        <f ca="1">IFERROR(__xludf.DUMMYFUNCTION("""COMPUTED_VALUE"""),45202)</f>
        <v>45202</v>
      </c>
      <c r="I23" s="1" t="str">
        <f ca="1">IFERROR(__xludf.DUMMYFUNCTION("""COMPUTED_VALUE"""),"Shenzhen Nimbus")</f>
        <v>Shenzhen Nimbus</v>
      </c>
      <c r="J23" s="1" t="str">
        <f ca="1">IFERROR(__xludf.DUMMYFUNCTION("""COMPUTED_VALUE"""),"Air")</f>
        <v>Air</v>
      </c>
      <c r="K23" s="1" t="str">
        <f ca="1">IFERROR(__xludf.DUMMYFUNCTION("""COMPUTED_VALUE"""),"EK 9845")</f>
        <v>EK 9845</v>
      </c>
      <c r="L23" s="1" t="str">
        <f ca="1">IFERROR(__xludf.DUMMYFUNCTION("""COMPUTED_VALUE"""),"EMIRATES AIRLINE")</f>
        <v>EMIRATES AIRLINE</v>
      </c>
      <c r="M23" s="1" t="str">
        <f ca="1">IFERROR(__xludf.DUMMYFUNCTION("""COMPUTED_VALUE"""),"19681173772")</f>
        <v>19681173772</v>
      </c>
      <c r="N23" s="1" t="str">
        <f ca="1">IFERROR(__xludf.DUMMYFUNCTION("""COMPUTED_VALUE"""),"NBA2309002")</f>
        <v>NBA2309002</v>
      </c>
      <c r="O23" s="1" t="str">
        <f ca="1">IFERROR(__xludf.DUMMYFUNCTION("""COMPUTED_VALUE"""),"Express Bill of Lading")</f>
        <v>Express Bill of Lading</v>
      </c>
      <c r="P23" s="1" t="str">
        <f ca="1">IFERROR(__xludf.DUMMYFUNCTION("""COMPUTED_VALUE"""),"EK 9845")</f>
        <v>EK 9845</v>
      </c>
      <c r="Q23" s="1" t="str">
        <f ca="1">IFERROR(__xludf.DUMMYFUNCTION("""COMPUTED_VALUE"""),"PMC776789EK/Q7")</f>
        <v>PMC776789EK/Q7</v>
      </c>
      <c r="R23" s="1" t="str">
        <f ca="1">IFERROR(__xludf.DUMMYFUNCTION("""COMPUTED_VALUE"""),"Aero - Link Cargo")</f>
        <v>Aero - Link Cargo</v>
      </c>
      <c r="S23" s="1" t="str">
        <f ca="1">IFERROR(__xludf.DUMMYFUNCTION("""COMPUTED_VALUE"""),"Asia Direct")</f>
        <v>Asia Direct</v>
      </c>
      <c r="T23" s="1" t="str">
        <f ca="1">IFERROR(__xludf.DUMMYFUNCTION("""COMPUTED_VALUE"""),"Daliso")</f>
        <v>Daliso</v>
      </c>
      <c r="U23" s="1"/>
      <c r="V23" s="1"/>
      <c r="W23" s="1"/>
      <c r="X23" s="1"/>
      <c r="Y23" s="1"/>
      <c r="Z23" s="1"/>
    </row>
    <row r="24" spans="1:26" x14ac:dyDescent="0.3">
      <c r="A24" s="1" t="str">
        <f ca="1">IFERROR(__xludf.DUMMYFUNCTION("""COMPUTED_VALUE"""),"DL21")</f>
        <v>DL21</v>
      </c>
      <c r="B24" s="1" t="str">
        <f ca="1">IFERROR(__xludf.DUMMYFUNCTION("""COMPUTED_VALUE"""),"Msimeki Mabuza")</f>
        <v>Msimeki Mabuza</v>
      </c>
      <c r="C24" s="1" t="str">
        <f ca="1">IFERROR(__xludf.DUMMYFUNCTION("""COMPUTED_VALUE"""),"Delivered")</f>
        <v>Delivered</v>
      </c>
      <c r="D24" s="3">
        <f ca="1">IFERROR(__xludf.DUMMYFUNCTION("""COMPUTED_VALUE"""),45113)</f>
        <v>45113</v>
      </c>
      <c r="E24" s="1" t="str">
        <f ca="1">IFERROR(__xludf.DUMMYFUNCTION("""COMPUTED_VALUE"""),"Shekou")</f>
        <v>Shekou</v>
      </c>
      <c r="F24" s="1" t="str">
        <f ca="1">IFERROR(__xludf.DUMMYFUNCTION("""COMPUTED_VALUE"""),"Durban")</f>
        <v>Durban</v>
      </c>
      <c r="G24" s="3">
        <f ca="1">IFERROR(__xludf.DUMMYFUNCTION("""COMPUTED_VALUE"""),45148)</f>
        <v>45148</v>
      </c>
      <c r="H24" s="3">
        <f ca="1">IFERROR(__xludf.DUMMYFUNCTION("""COMPUTED_VALUE"""),45128)</f>
        <v>45128</v>
      </c>
      <c r="I24" s="1" t="str">
        <f ca="1">IFERROR(__xludf.DUMMYFUNCTION("""COMPUTED_VALUE"""),"OBD Logistics")</f>
        <v>OBD Logistics</v>
      </c>
      <c r="J24" s="1" t="str">
        <f ca="1">IFERROR(__xludf.DUMMYFUNCTION("""COMPUTED_VALUE"""),"Sea")</f>
        <v>Sea</v>
      </c>
      <c r="K24" s="1"/>
      <c r="L24" s="1" t="str">
        <f ca="1">IFERROR(__xludf.DUMMYFUNCTION("""COMPUTED_VALUE"""),"Bear Mountain Bridge 109w")</f>
        <v>Bear Mountain Bridge 109w</v>
      </c>
      <c r="M24" s="1" t="str">
        <f ca="1">IFERROR(__xludf.DUMMYFUNCTION("""COMPUTED_VALUE"""),"LLLJHB23727292")</f>
        <v>LLLJHB23727292</v>
      </c>
      <c r="N24" s="1"/>
      <c r="O24" s="1" t="str">
        <f ca="1">IFERROR(__xludf.DUMMYFUNCTION("""COMPUTED_VALUE"""),"Original Bill of Lading")</f>
        <v>Original Bill of Lading</v>
      </c>
      <c r="P24" s="1"/>
      <c r="Q24" s="1"/>
      <c r="R24" s="1" t="str">
        <f ca="1">IFERROR(__xludf.DUMMYFUNCTION("""COMPUTED_VALUE"""),"Afristar")</f>
        <v>Afristar</v>
      </c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 t="str">
        <f ca="1">IFERROR(__xludf.DUMMYFUNCTION("""COMPUTED_VALUE"""),"DL23")</f>
        <v>DL23</v>
      </c>
      <c r="B25" s="1" t="str">
        <f ca="1">IFERROR(__xludf.DUMMYFUNCTION("""COMPUTED_VALUE"""),"Top tech Catering")</f>
        <v>Top tech Catering</v>
      </c>
      <c r="C25" s="1" t="str">
        <f ca="1">IFERROR(__xludf.DUMMYFUNCTION("""COMPUTED_VALUE"""),"Delivered")</f>
        <v>Delivered</v>
      </c>
      <c r="D25" s="3">
        <f ca="1">IFERROR(__xludf.DUMMYFUNCTION("""COMPUTED_VALUE"""),45083)</f>
        <v>45083</v>
      </c>
      <c r="E25" s="1" t="str">
        <f ca="1">IFERROR(__xludf.DUMMYFUNCTION("""COMPUTED_VALUE"""),"Shekou")</f>
        <v>Shekou</v>
      </c>
      <c r="F25" s="1" t="str">
        <f ca="1">IFERROR(__xludf.DUMMYFUNCTION("""COMPUTED_VALUE"""),"Durban")</f>
        <v>Durban</v>
      </c>
      <c r="G25" s="3">
        <f ca="1">IFERROR(__xludf.DUMMYFUNCTION("""COMPUTED_VALUE"""),45112)</f>
        <v>45112</v>
      </c>
      <c r="H25" s="3">
        <f ca="1">IFERROR(__xludf.DUMMYFUNCTION("""COMPUTED_VALUE"""),45117)</f>
        <v>45117</v>
      </c>
      <c r="I25" s="1" t="str">
        <f ca="1">IFERROR(__xludf.DUMMYFUNCTION("""COMPUTED_VALUE"""),"OBD Logistics")</f>
        <v>OBD Logistics</v>
      </c>
      <c r="J25" s="1" t="str">
        <f ca="1">IFERROR(__xludf.DUMMYFUNCTION("""COMPUTED_VALUE"""),"Sea")</f>
        <v>Sea</v>
      </c>
      <c r="K25" s="1" t="str">
        <f ca="1">IFERROR(__xludf.DUMMYFUNCTION("""COMPUTED_VALUE"""),"OCEAN NETWORK EXPRESS")</f>
        <v>OCEAN NETWORK EXPRESS</v>
      </c>
      <c r="L25" s="1" t="str">
        <f ca="1">IFERROR(__xludf.DUMMYFUNCTION("""COMPUTED_VALUE"""),"BAY BRIDGE")</f>
        <v>BAY BRIDGE</v>
      </c>
      <c r="M25" s="1"/>
      <c r="N25" s="1" t="str">
        <f ca="1">IFERROR(__xludf.DUMMYFUNCTION("""COMPUTED_VALUE"""),"LLLJHB23811222NB")</f>
        <v>LLLJHB23811222NB</v>
      </c>
      <c r="O25" s="1" t="str">
        <f ca="1">IFERROR(__xludf.DUMMYFUNCTION("""COMPUTED_VALUE"""),"Express Bill of Lading")</f>
        <v>Express Bill of Lading</v>
      </c>
      <c r="P25" s="1" t="str">
        <f ca="1">IFERROR(__xludf.DUMMYFUNCTION("""COMPUTED_VALUE"""),"KKFU6742957")</f>
        <v>KKFU6742957</v>
      </c>
      <c r="Q25" s="1" t="str">
        <f ca="1">IFERROR(__xludf.DUMMYFUNCTION("""COMPUTED_VALUE"""),"CNCK22619")</f>
        <v>CNCK22619</v>
      </c>
      <c r="R25" s="1" t="str">
        <f ca="1">IFERROR(__xludf.DUMMYFUNCTION("""COMPUTED_VALUE"""),"Afristar")</f>
        <v>Afristar</v>
      </c>
      <c r="S25" s="1" t="str">
        <f ca="1">IFERROR(__xludf.DUMMYFUNCTION("""COMPUTED_VALUE"""),"Alpha Shipping")</f>
        <v>Alpha Shipping</v>
      </c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 t="str">
        <f ca="1">IFERROR(__xludf.DUMMYFUNCTION("""COMPUTED_VALUE"""),"DL13")</f>
        <v>DL13</v>
      </c>
      <c r="B27" s="1" t="str">
        <f ca="1">IFERROR(__xludf.DUMMYFUNCTION("""COMPUTED_VALUE"""),"Indi &amp; Oak")</f>
        <v>Indi &amp; Oak</v>
      </c>
      <c r="C27" s="1" t="str">
        <f ca="1">IFERROR(__xludf.DUMMYFUNCTION("""COMPUTED_VALUE"""),"Delivered")</f>
        <v>Delivered</v>
      </c>
      <c r="D27" s="3">
        <f ca="1">IFERROR(__xludf.DUMMYFUNCTION("""COMPUTED_VALUE"""),45117)</f>
        <v>45117</v>
      </c>
      <c r="E27" s="1"/>
      <c r="F27" s="1" t="str">
        <f ca="1">IFERROR(__xludf.DUMMYFUNCTION("""COMPUTED_VALUE"""),"DURBAN")</f>
        <v>DURBAN</v>
      </c>
      <c r="G27" s="3">
        <f ca="1">IFERROR(__xludf.DUMMYFUNCTION("""COMPUTED_VALUE"""),45132)</f>
        <v>45132</v>
      </c>
      <c r="H27" s="3">
        <f ca="1">IFERROR(__xludf.DUMMYFUNCTION("""COMPUTED_VALUE"""),45132)</f>
        <v>45132</v>
      </c>
      <c r="I27" s="1" t="str">
        <f ca="1">IFERROR(__xludf.DUMMYFUNCTION("""COMPUTED_VALUE"""),"SANBRO HOLDINGS")</f>
        <v>SANBRO HOLDINGS</v>
      </c>
      <c r="J27" s="1" t="str">
        <f ca="1">IFERROR(__xludf.DUMMYFUNCTION("""COMPUTED_VALUE"""),"Sea")</f>
        <v>Sea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ca="1">IFERROR(__xludf.DUMMYFUNCTION("""COMPUTED_VALUE"""),"Goods ready to be collected at the local port")</f>
        <v>Goods ready to be collected at the local port</v>
      </c>
      <c r="X27" s="1"/>
      <c r="Y27" s="1"/>
      <c r="Z27" s="1"/>
    </row>
    <row r="28" spans="1:26" x14ac:dyDescent="0.3">
      <c r="A28" s="1" t="str">
        <f ca="1">IFERROR(__xludf.DUMMYFUNCTION("""COMPUTED_VALUE"""),"DL26")</f>
        <v>DL26</v>
      </c>
      <c r="B28" s="1" t="str">
        <f ca="1">IFERROR(__xludf.DUMMYFUNCTION("""COMPUTED_VALUE"""),"United Nations Development Program")</f>
        <v>United Nations Development Program</v>
      </c>
      <c r="C28" s="1" t="str">
        <f ca="1">IFERROR(__xludf.DUMMYFUNCTION("""COMPUTED_VALUE"""),"Delivered")</f>
        <v>Delivered</v>
      </c>
      <c r="D28" s="3">
        <f ca="1">IFERROR(__xludf.DUMMYFUNCTION("""COMPUTED_VALUE"""),45127)</f>
        <v>45127</v>
      </c>
      <c r="E28" s="1" t="str">
        <f ca="1">IFERROR(__xludf.DUMMYFUNCTION("""COMPUTED_VALUE"""),"Cape town")</f>
        <v>Cape town</v>
      </c>
      <c r="F28" s="1" t="str">
        <f ca="1">IFERROR(__xludf.DUMMYFUNCTION("""COMPUTED_VALUE"""),"Luanda")</f>
        <v>Luanda</v>
      </c>
      <c r="G28" s="3">
        <f ca="1">IFERROR(__xludf.DUMMYFUNCTION("""COMPUTED_VALUE"""),45142)</f>
        <v>45142</v>
      </c>
      <c r="H28" s="3">
        <f ca="1">IFERROR(__xludf.DUMMYFUNCTION("""COMPUTED_VALUE"""),45142)</f>
        <v>45142</v>
      </c>
      <c r="I28" s="1" t="str">
        <f ca="1">IFERROR(__xludf.DUMMYFUNCTION("""COMPUTED_VALUE"""),"Asia Direct - Africa")</f>
        <v>Asia Direct - Africa</v>
      </c>
      <c r="J28" s="1" t="str">
        <f ca="1">IFERROR(__xludf.DUMMYFUNCTION("""COMPUTED_VALUE"""),"Sea")</f>
        <v>Sea</v>
      </c>
      <c r="K28" s="1"/>
      <c r="L28" s="1" t="str">
        <f ca="1">IFERROR(__xludf.DUMMYFUNCTION("""COMPUTED_VALUE"""),"MSC CARLA III")</f>
        <v>MSC CARLA III</v>
      </c>
      <c r="M28" s="1"/>
      <c r="N28" s="1" t="str">
        <f ca="1">IFERROR(__xludf.DUMMYFUNCTION("""COMPUTED_VALUE"""),"CFRJLAD36931")</f>
        <v>CFRJLAD36931</v>
      </c>
      <c r="O28" s="1" t="str">
        <f ca="1">IFERROR(__xludf.DUMMYFUNCTION("""COMPUTED_VALUE"""),"Original Bill of Lading")</f>
        <v>Original Bill of Lading</v>
      </c>
      <c r="P28" s="1" t="str">
        <f ca="1">IFERROR(__xludf.DUMMYFUNCTION("""COMPUTED_VALUE"""),"MSNU7300102")</f>
        <v>MSNU7300102</v>
      </c>
      <c r="Q28" s="1" t="str">
        <f ca="1">IFERROR(__xludf.DUMMYFUNCTION("""COMPUTED_VALUE"""),"FX25526493")</f>
        <v>FX25526493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 t="str">
        <f ca="1">IFERROR(__xludf.DUMMYFUNCTION("""COMPUTED_VALUE"""),"DL25")</f>
        <v>DL25</v>
      </c>
      <c r="B30" s="1" t="str">
        <f ca="1">IFERROR(__xludf.DUMMYFUNCTION("""COMPUTED_VALUE"""),"RAMU GLOBAL INVESTMENTS GROUP")</f>
        <v>RAMU GLOBAL INVESTMENTS GROUP</v>
      </c>
      <c r="C30" s="1" t="str">
        <f ca="1">IFERROR(__xludf.DUMMYFUNCTION("""COMPUTED_VALUE"""),"Delivered")</f>
        <v>Delivered</v>
      </c>
      <c r="D30" s="3">
        <f ca="1">IFERROR(__xludf.DUMMYFUNCTION("""COMPUTED_VALUE"""),45127)</f>
        <v>45127</v>
      </c>
      <c r="E30" s="1" t="str">
        <f ca="1">IFERROR(__xludf.DUMMYFUNCTION("""COMPUTED_VALUE"""),"JIANGMEN")</f>
        <v>JIANGMEN</v>
      </c>
      <c r="F30" s="1" t="str">
        <f ca="1">IFERROR(__xludf.DUMMYFUNCTION("""COMPUTED_VALUE"""),"DURBAN")</f>
        <v>DURBAN</v>
      </c>
      <c r="G30" s="3">
        <f ca="1">IFERROR(__xludf.DUMMYFUNCTION("""COMPUTED_VALUE"""),45140)</f>
        <v>45140</v>
      </c>
      <c r="H30" s="3">
        <f ca="1">IFERROR(__xludf.DUMMYFUNCTION("""COMPUTED_VALUE"""),45152)</f>
        <v>45152</v>
      </c>
      <c r="I30" s="1" t="str">
        <f ca="1">IFERROR(__xludf.DUMMYFUNCTION("""COMPUTED_VALUE"""),"OBD Logistics")</f>
        <v>OBD Logistics</v>
      </c>
      <c r="J30" s="1" t="str">
        <f ca="1">IFERROR(__xludf.DUMMYFUNCTION("""COMPUTED_VALUE"""),"Road")</f>
        <v>Road</v>
      </c>
      <c r="K30" s="1" t="str">
        <f ca="1">IFERROR(__xludf.DUMMYFUNCTION("""COMPUTED_VALUE"""),"9V7957")</f>
        <v>9V7957</v>
      </c>
      <c r="L30" s="1" t="str">
        <f ca="1">IFERROR(__xludf.DUMMYFUNCTION("""COMPUTED_VALUE"""),"EVER UNITED 194W")</f>
        <v>EVER UNITED 194W</v>
      </c>
      <c r="M30" s="1" t="str">
        <f ca="1">IFERROR(__xludf.DUMMYFUNCTION("""COMPUTED_VALUE"""),"OOLU2720410334")</f>
        <v>OOLU2720410334</v>
      </c>
      <c r="N30" s="1" t="str">
        <f ca="1">IFERROR(__xludf.DUMMYFUNCTION("""COMPUTED_VALUE"""),"OOLU2720410334")</f>
        <v>OOLU2720410334</v>
      </c>
      <c r="O30" s="1" t="str">
        <f ca="1">IFERROR(__xludf.DUMMYFUNCTION("""COMPUTED_VALUE"""),"Original Bill of Lading")</f>
        <v>Original Bill of Lading</v>
      </c>
      <c r="P30" s="1" t="str">
        <f ca="1">IFERROR(__xludf.DUMMYFUNCTION("""COMPUTED_VALUE"""),"OOLU2720410334")</f>
        <v>OOLU2720410334</v>
      </c>
      <c r="Q30" s="1" t="str">
        <f ca="1">IFERROR(__xludf.DUMMYFUNCTION("""COMPUTED_VALUE"""),"OOLU9555028 OOLHRJ8087")</f>
        <v>OOLU9555028 OOLHRJ8087</v>
      </c>
      <c r="R30" s="1" t="str">
        <f ca="1">IFERROR(__xludf.DUMMYFUNCTION("""COMPUTED_VALUE"""),"DN FREIGHT")</f>
        <v>DN FREIGHT</v>
      </c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 t="str">
        <f ca="1">IFERROR(__xludf.DUMMYFUNCTION("""COMPUTED_VALUE"""),"DL27")</f>
        <v>DL27</v>
      </c>
      <c r="B33" s="1" t="str">
        <f ca="1">IFERROR(__xludf.DUMMYFUNCTION("""COMPUTED_VALUE"""),"Additive Manufacturing Solutions")</f>
        <v>Additive Manufacturing Solutions</v>
      </c>
      <c r="C33" s="1" t="str">
        <f ca="1">IFERROR(__xludf.DUMMYFUNCTION("""COMPUTED_VALUE"""),"Delivered")</f>
        <v>Delivered</v>
      </c>
      <c r="D33" s="3">
        <f ca="1">IFERROR(__xludf.DUMMYFUNCTION("""COMPUTED_VALUE"""),45138)</f>
        <v>45138</v>
      </c>
      <c r="E33" s="1" t="str">
        <f ca="1">IFERROR(__xludf.DUMMYFUNCTION("""COMPUTED_VALUE"""),"Hongkong")</f>
        <v>Hongkong</v>
      </c>
      <c r="F33" s="1" t="str">
        <f ca="1">IFERROR(__xludf.DUMMYFUNCTION("""COMPUTED_VALUE"""),"JHB")</f>
        <v>JHB</v>
      </c>
      <c r="G33" s="3">
        <f ca="1">IFERROR(__xludf.DUMMYFUNCTION("""COMPUTED_VALUE"""),45139)</f>
        <v>45139</v>
      </c>
      <c r="H33" s="3">
        <f ca="1">IFERROR(__xludf.DUMMYFUNCTION("""COMPUTED_VALUE"""),45148)</f>
        <v>45148</v>
      </c>
      <c r="I33" s="1" t="str">
        <f ca="1">IFERROR(__xludf.DUMMYFUNCTION("""COMPUTED_VALUE"""),"OBD Logistics")</f>
        <v>OBD Logistics</v>
      </c>
      <c r="J33" s="1" t="str">
        <f ca="1">IFERROR(__xludf.DUMMYFUNCTION("""COMPUTED_VALUE"""),"Air")</f>
        <v>Air</v>
      </c>
      <c r="K33" s="1" t="str">
        <f ca="1">IFERROR(__xludf.DUMMYFUNCTION("""COMPUTED_VALUE"""),"CA 867")</f>
        <v>CA 867</v>
      </c>
      <c r="L33" s="1" t="str">
        <f ca="1">IFERROR(__xludf.DUMMYFUNCTION("""COMPUTED_VALUE"""),"CA")</f>
        <v>CA</v>
      </c>
      <c r="M33" s="1" t="str">
        <f ca="1">IFERROR(__xludf.DUMMYFUNCTION("""COMPUTED_VALUE"""),"99969642624")</f>
        <v>99969642624</v>
      </c>
      <c r="N33" s="1" t="str">
        <f ca="1">IFERROR(__xludf.DUMMYFUNCTION("""COMPUTED_VALUE"""),"99969642624")</f>
        <v>99969642624</v>
      </c>
      <c r="O33" s="1" t="str">
        <f ca="1">IFERROR(__xludf.DUMMYFUNCTION("""COMPUTED_VALUE"""),"Original Bill of Lading")</f>
        <v>Original Bill of Lading</v>
      </c>
      <c r="P33" s="1" t="str">
        <f ca="1">IFERROR(__xludf.DUMMYFUNCTION("""COMPUTED_VALUE"""),"CA 867")</f>
        <v>CA 867</v>
      </c>
      <c r="Q33" s="1" t="str">
        <f ca="1">IFERROR(__xludf.DUMMYFUNCTION("""COMPUTED_VALUE"""),"21529257JSA20230801303311")</f>
        <v>21529257JSA20230801303311</v>
      </c>
      <c r="R33" s="1" t="str">
        <f ca="1">IFERROR(__xludf.DUMMYFUNCTION("""COMPUTED_VALUE"""),"Menzies International")</f>
        <v>Menzies International</v>
      </c>
      <c r="S33" s="1" t="str">
        <f ca="1">IFERROR(__xludf.DUMMYFUNCTION("""COMPUTED_VALUE"""),"Greens Transport")</f>
        <v>Greens Transport</v>
      </c>
      <c r="T33" s="1" t="str">
        <f ca="1">IFERROR(__xludf.DUMMYFUNCTION("""COMPUTED_VALUE"""),"Hassan")</f>
        <v>Hassan</v>
      </c>
      <c r="U33" s="1"/>
      <c r="V33" s="1" t="str">
        <f ca="1">IFERROR(__xludf.DUMMYFUNCTION("""COMPUTED_VALUE"""),"JV14RRGP")</f>
        <v>JV14RRGP</v>
      </c>
      <c r="W33" s="1" t="str">
        <f ca="1">IFERROR(__xludf.DUMMYFUNCTION("""COMPUTED_VALUE"""),"Goods have been collected")</f>
        <v>Goods have been collected</v>
      </c>
      <c r="X33" s="1" t="str">
        <f ca="1">IFERROR(__xludf.DUMMYFUNCTION("""COMPUTED_VALUE"""),"03/08/2023")</f>
        <v>03/08/2023</v>
      </c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 t="str">
        <f ca="1">IFERROR(__xludf.DUMMYFUNCTION("""COMPUTED_VALUE"""),"DL30")</f>
        <v>DL30</v>
      </c>
      <c r="B35" s="1" t="str">
        <f ca="1">IFERROR(__xludf.DUMMYFUNCTION("""COMPUTED_VALUE"""),"Dirk Steenkamp")</f>
        <v>Dirk Steenkamp</v>
      </c>
      <c r="C35" s="1" t="str">
        <f ca="1">IFERROR(__xludf.DUMMYFUNCTION("""COMPUTED_VALUE"""),"Delivered")</f>
        <v>Delivered</v>
      </c>
      <c r="D35" s="3">
        <f ca="1">IFERROR(__xludf.DUMMYFUNCTION("""COMPUTED_VALUE"""),45153)</f>
        <v>45153</v>
      </c>
      <c r="E35" s="1" t="str">
        <f ca="1">IFERROR(__xludf.DUMMYFUNCTION("""COMPUTED_VALUE"""),"QINGDAO")</f>
        <v>QINGDAO</v>
      </c>
      <c r="F35" s="1" t="str">
        <f ca="1">IFERROR(__xludf.DUMMYFUNCTION("""COMPUTED_VALUE"""),"DURBAN")</f>
        <v>DURBAN</v>
      </c>
      <c r="G35" s="3">
        <f ca="1">IFERROR(__xludf.DUMMYFUNCTION("""COMPUTED_VALUE"""),45197)</f>
        <v>45197</v>
      </c>
      <c r="H35" s="3">
        <f ca="1">IFERROR(__xludf.DUMMYFUNCTION("""COMPUTED_VALUE"""),45203)</f>
        <v>45203</v>
      </c>
      <c r="I35" s="1" t="str">
        <f ca="1">IFERROR(__xludf.DUMMYFUNCTION("""COMPUTED_VALUE"""),"OBD Logistics")</f>
        <v>OBD Logistics</v>
      </c>
      <c r="J35" s="1" t="str">
        <f ca="1">IFERROR(__xludf.DUMMYFUNCTION("""COMPUTED_VALUE"""),"Sea")</f>
        <v>Sea</v>
      </c>
      <c r="K35" s="1" t="str">
        <f ca="1">IFERROR(__xludf.DUMMYFUNCTION("""COMPUTED_VALUE"""),"OCEAN NETWORK EXPRESS")</f>
        <v>OCEAN NETWORK EXPRESS</v>
      </c>
      <c r="L35" s="1" t="str">
        <f ca="1">IFERROR(__xludf.DUMMYFUNCTION("""COMPUTED_VALUE"""),"EVER DEVOTE / 168W")</f>
        <v>EVER DEVOTE / 168W</v>
      </c>
      <c r="M35" s="1" t="str">
        <f ca="1">IFERROR(__xludf.DUMMYFUNCTION("""COMPUTED_VALUE"""),"ONEYTA3PYK514900")</f>
        <v>ONEYTA3PYK514900</v>
      </c>
      <c r="N35" s="1" t="str">
        <f ca="1">IFERROR(__xludf.DUMMYFUNCTION("""COMPUTED_VALUE"""),"LLLJHB23804286QD")</f>
        <v>LLLJHB23804286QD</v>
      </c>
      <c r="O35" s="1" t="str">
        <f ca="1">IFERROR(__xludf.DUMMYFUNCTION("""COMPUTED_VALUE"""),"Express Bill of Lading")</f>
        <v>Express Bill of Lading</v>
      </c>
      <c r="P35" s="1" t="str">
        <f ca="1">IFERROR(__xludf.DUMMYFUNCTION("""COMPUTED_VALUE"""),"TLLU1123006")</f>
        <v>TLLU1123006</v>
      </c>
      <c r="Q35" s="1" t="str">
        <f ca="1">IFERROR(__xludf.DUMMYFUNCTION("""COMPUTED_VALUE"""),"CN61511AC")</f>
        <v>CN61511AC</v>
      </c>
      <c r="R35" s="1" t="str">
        <f ca="1">IFERROR(__xludf.DUMMYFUNCTION("""COMPUTED_VALUE"""),"Afristar")</f>
        <v>Afristar</v>
      </c>
      <c r="S35" s="1" t="str">
        <f ca="1">IFERROR(__xludf.DUMMYFUNCTION("""COMPUTED_VALUE"""),"Asia Direct")</f>
        <v>Asia Direct</v>
      </c>
      <c r="T35" s="1" t="str">
        <f ca="1">IFERROR(__xludf.DUMMYFUNCTION("""COMPUTED_VALUE"""),"Green Hassan")</f>
        <v>Green Hassan</v>
      </c>
      <c r="U35" s="1" t="str">
        <f ca="1">IFERROR(__xludf.DUMMYFUNCTION("""COMPUTED_VALUE"""),"97512 DK")</f>
        <v>97512 DK</v>
      </c>
      <c r="V35" s="1" t="str">
        <f ca="1">IFERROR(__xludf.DUMMYFUNCTION("""COMPUTED_VALUE"""),"JV 14 RR GP")</f>
        <v>JV 14 RR GP</v>
      </c>
      <c r="W35" s="1" t="str">
        <f ca="1">IFERROR(__xludf.DUMMYFUNCTION("""COMPUTED_VALUE"""),"Ready to be collected at the depot")</f>
        <v>Ready to be collected at the depot</v>
      </c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 t="str">
        <f ca="1">IFERROR(__xludf.DUMMYFUNCTION("""COMPUTED_VALUE"""),"DL33")</f>
        <v>DL33</v>
      </c>
      <c r="B38" s="1" t="str">
        <f ca="1">IFERROR(__xludf.DUMMYFUNCTION("""COMPUTED_VALUE"""),"Thabo Manyengisa")</f>
        <v>Thabo Manyengisa</v>
      </c>
      <c r="C38" s="1" t="str">
        <f ca="1">IFERROR(__xludf.DUMMYFUNCTION("""COMPUTED_VALUE"""),"Delivered")</f>
        <v>Delivered</v>
      </c>
      <c r="D38" s="3">
        <f ca="1">IFERROR(__xludf.DUMMYFUNCTION("""COMPUTED_VALUE"""),45141)</f>
        <v>45141</v>
      </c>
      <c r="E38" s="1" t="str">
        <f ca="1">IFERROR(__xludf.DUMMYFUNCTION("""COMPUTED_VALUE"""),"Shekou Pt, China")</f>
        <v>Shekou Pt, China</v>
      </c>
      <c r="F38" s="1" t="str">
        <f ca="1">IFERROR(__xludf.DUMMYFUNCTION("""COMPUTED_VALUE"""),"Durban, South Africa")</f>
        <v>Durban, South Africa</v>
      </c>
      <c r="G38" s="3">
        <f ca="1">IFERROR(__xludf.DUMMYFUNCTION("""COMPUTED_VALUE"""),45141)</f>
        <v>45141</v>
      </c>
      <c r="H38" s="3">
        <f ca="1">IFERROR(__xludf.DUMMYFUNCTION("""COMPUTED_VALUE"""),45141)</f>
        <v>45141</v>
      </c>
      <c r="I38" s="1" t="str">
        <f ca="1">IFERROR(__xludf.DUMMYFUNCTION("""COMPUTED_VALUE"""),"OBD Logistics")</f>
        <v>OBD Logistics</v>
      </c>
      <c r="J38" s="1" t="str">
        <f ca="1">IFERROR(__xludf.DUMMYFUNCTION("""COMPUTED_VALUE"""),"Sea")</f>
        <v>Sea</v>
      </c>
      <c r="K38" s="1" t="str">
        <f ca="1">IFERROR(__xludf.DUMMYFUNCTION("""COMPUTED_VALUE"""),"00")</f>
        <v>00</v>
      </c>
      <c r="L38" s="1" t="str">
        <f ca="1">IFERROR(__xludf.DUMMYFUNCTION("""COMPUTED_VALUE"""),"COSCO WELLINGTON / 087W")</f>
        <v>COSCO WELLINGTON / 087W</v>
      </c>
      <c r="M38" s="1" t="str">
        <f ca="1">IFERROR(__xludf.DUMMYFUNCTION("""COMPUTED_VALUE"""),"LLLJHB23619225SZ")</f>
        <v>LLLJHB23619225SZ</v>
      </c>
      <c r="N38" s="1" t="str">
        <f ca="1">IFERROR(__xludf.DUMMYFUNCTION("""COMPUTED_VALUE"""),"LLLJHB23619225SZ")</f>
        <v>LLLJHB23619225SZ</v>
      </c>
      <c r="O38" s="1" t="str">
        <f ca="1">IFERROR(__xludf.DUMMYFUNCTION("""COMPUTED_VALUE"""),"Express Bill of Lading")</f>
        <v>Express Bill of Lading</v>
      </c>
      <c r="P38" s="1" t="str">
        <f ca="1">IFERROR(__xludf.DUMMYFUNCTION("""COMPUTED_VALUE"""),"OTPU1903100")</f>
        <v>OTPU1903100</v>
      </c>
      <c r="Q38" s="1" t="str">
        <f ca="1">IFERROR(__xludf.DUMMYFUNCTION("""COMPUTED_VALUE"""),"CNBR78986")</f>
        <v>CNBR78986</v>
      </c>
      <c r="R38" s="1" t="str">
        <f ca="1">IFERROR(__xludf.DUMMYFUNCTION("""COMPUTED_VALUE"""),"Afristar")</f>
        <v>Afristar</v>
      </c>
      <c r="S38" s="1" t="str">
        <f ca="1">IFERROR(__xludf.DUMMYFUNCTION("""COMPUTED_VALUE"""),"Asia Direct")</f>
        <v>Asia Direct</v>
      </c>
      <c r="T38" s="1" t="str">
        <f ca="1">IFERROR(__xludf.DUMMYFUNCTION("""COMPUTED_VALUE"""),"Ruvako")</f>
        <v>Ruvako</v>
      </c>
      <c r="U38" s="1"/>
      <c r="V38" s="1" t="str">
        <f ca="1">IFERROR(__xludf.DUMMYFUNCTION("""COMPUTED_VALUE"""),"CAA441483")</f>
        <v>CAA441483</v>
      </c>
      <c r="W38" s="1"/>
      <c r="X38" s="1"/>
      <c r="Y38" s="1"/>
      <c r="Z38" s="1"/>
    </row>
    <row r="39" spans="1:26" x14ac:dyDescent="0.3">
      <c r="A39" s="1" t="str">
        <f ca="1">IFERROR(__xludf.DUMMYFUNCTION("""COMPUTED_VALUE"""),"DL33")</f>
        <v>DL33</v>
      </c>
      <c r="B39" s="1" t="str">
        <f ca="1">IFERROR(__xludf.DUMMYFUNCTION("""COMPUTED_VALUE"""),"Thabo Manyengisa")</f>
        <v>Thabo Manyengisa</v>
      </c>
      <c r="C39" s="1" t="str">
        <f ca="1">IFERROR(__xludf.DUMMYFUNCTION("""COMPUTED_VALUE"""),"Delivered")</f>
        <v>Delivered</v>
      </c>
      <c r="D39" s="3">
        <f ca="1">IFERROR(__xludf.DUMMYFUNCTION("""COMPUTED_VALUE"""),45141)</f>
        <v>45141</v>
      </c>
      <c r="E39" s="1" t="str">
        <f ca="1">IFERROR(__xludf.DUMMYFUNCTION("""COMPUTED_VALUE"""),"Shekou")</f>
        <v>Shekou</v>
      </c>
      <c r="F39" s="1" t="str">
        <f ca="1">IFERROR(__xludf.DUMMYFUNCTION("""COMPUTED_VALUE"""),"Durban")</f>
        <v>Durban</v>
      </c>
      <c r="G39" s="3">
        <f ca="1">IFERROR(__xludf.DUMMYFUNCTION("""COMPUTED_VALUE"""),45156)</f>
        <v>45156</v>
      </c>
      <c r="H39" s="3">
        <f ca="1">IFERROR(__xludf.DUMMYFUNCTION("""COMPUTED_VALUE"""),45156)</f>
        <v>45156</v>
      </c>
      <c r="I39" s="1" t="str">
        <f ca="1">IFERROR(__xludf.DUMMYFUNCTION("""COMPUTED_VALUE"""),"OBD Logistics")</f>
        <v>OBD Logistics</v>
      </c>
      <c r="J39" s="1" t="str">
        <f ca="1">IFERROR(__xludf.DUMMYFUNCTION("""COMPUTED_VALUE"""),"Sea")</f>
        <v>Sea</v>
      </c>
      <c r="K39" s="1"/>
      <c r="L39" s="1" t="str">
        <f ca="1">IFERROR(__xludf.DUMMYFUNCTION("""COMPUTED_VALUE"""),"BEAR MOUNTAIN BRIDGE")</f>
        <v>BEAR MOUNTAIN BRIDGE</v>
      </c>
      <c r="M39" s="1" t="str">
        <f ca="1">IFERROR(__xludf.DUMMYFUNCTION("""COMPUTED_VALUE"""),"LLLJHB23727292")</f>
        <v>LLLJHB23727292</v>
      </c>
      <c r="N39" s="1"/>
      <c r="O39" s="1" t="str">
        <f ca="1">IFERROR(__xludf.DUMMYFUNCTION("""COMPUTED_VALUE"""),"Original Bill of Lading")</f>
        <v>Original Bill of Lading</v>
      </c>
      <c r="P39" s="1"/>
      <c r="Q39" s="1"/>
      <c r="R39" s="1" t="str">
        <f ca="1">IFERROR(__xludf.DUMMYFUNCTION("""COMPUTED_VALUE"""),"Afristar")</f>
        <v>Afristar</v>
      </c>
      <c r="S39" s="1"/>
      <c r="T39" s="1"/>
      <c r="U39" s="1"/>
      <c r="V39" s="1"/>
      <c r="W39" s="1" t="str">
        <f ca="1">IFERROR(__xludf.DUMMYFUNCTION("""COMPUTED_VALUE"""),"The water heater is at our warehouse waiting for payment")</f>
        <v>The water heater is at our warehouse waiting for payment</v>
      </c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 t="str">
        <f ca="1">IFERROR(__xludf.DUMMYFUNCTION("""COMPUTED_VALUE"""),"DL31")</f>
        <v>DL31</v>
      </c>
      <c r="B41" s="1" t="str">
        <f ca="1">IFERROR(__xludf.DUMMYFUNCTION("""COMPUTED_VALUE"""),"Mothupi Kgopa")</f>
        <v>Mothupi Kgopa</v>
      </c>
      <c r="C41" s="1" t="str">
        <f ca="1">IFERROR(__xludf.DUMMYFUNCTION("""COMPUTED_VALUE"""),"Delivered")</f>
        <v>Delivered</v>
      </c>
      <c r="D41" s="3">
        <f ca="1">IFERROR(__xludf.DUMMYFUNCTION("""COMPUTED_VALUE"""),45141)</f>
        <v>45141</v>
      </c>
      <c r="E41" s="1" t="str">
        <f ca="1">IFERROR(__xludf.DUMMYFUNCTION("""COMPUTED_VALUE"""),"Shenzen")</f>
        <v>Shenzen</v>
      </c>
      <c r="F41" s="1" t="str">
        <f ca="1">IFERROR(__xludf.DUMMYFUNCTION("""COMPUTED_VALUE"""),"Johannesburg")</f>
        <v>Johannesburg</v>
      </c>
      <c r="G41" s="3">
        <f ca="1">IFERROR(__xludf.DUMMYFUNCTION("""COMPUTED_VALUE"""),45147)</f>
        <v>45147</v>
      </c>
      <c r="H41" s="3">
        <f ca="1">IFERROR(__xludf.DUMMYFUNCTION("""COMPUTED_VALUE"""),45148)</f>
        <v>45148</v>
      </c>
      <c r="I41" s="1" t="str">
        <f ca="1">IFERROR(__xludf.DUMMYFUNCTION("""COMPUTED_VALUE"""),"OBD Logistics")</f>
        <v>OBD Logistics</v>
      </c>
      <c r="J41" s="1" t="str">
        <f ca="1">IFERROR(__xludf.DUMMYFUNCTION("""COMPUTED_VALUE"""),"Air")</f>
        <v>Air</v>
      </c>
      <c r="K41" s="1" t="str">
        <f ca="1">IFERROR(__xludf.DUMMYFUNCTION("""COMPUTED_VALUE"""),"EK761")</f>
        <v>EK761</v>
      </c>
      <c r="L41" s="1" t="str">
        <f ca="1">IFERROR(__xludf.DUMMYFUNCTION("""COMPUTED_VALUE"""),"Express")</f>
        <v>Express</v>
      </c>
      <c r="M41" s="1" t="str">
        <f ca="1">IFERROR(__xludf.DUMMYFUNCTION("""COMPUTED_VALUE"""),"17681625950")</f>
        <v>17681625950</v>
      </c>
      <c r="N41" s="1" t="str">
        <f ca="1">IFERROR(__xludf.DUMMYFUNCTION("""COMPUTED_VALUE"""),"A6D7427W9XY")</f>
        <v>A6D7427W9XY</v>
      </c>
      <c r="O41" s="1" t="str">
        <f ca="1">IFERROR(__xludf.DUMMYFUNCTION("""COMPUTED_VALUE"""),"Express Bill of Lading")</f>
        <v>Express Bill of Lading</v>
      </c>
      <c r="P41" s="1" t="str">
        <f ca="1">IFERROR(__xludf.DUMMYFUNCTION("""COMPUTED_VALUE"""),"SC8049327499")</f>
        <v>SC8049327499</v>
      </c>
      <c r="Q41" s="1"/>
      <c r="R41" s="1" t="str">
        <f ca="1">IFERROR(__xludf.DUMMYFUNCTION("""COMPUTED_VALUE"""),"UPS")</f>
        <v>UPS</v>
      </c>
      <c r="S41" s="1" t="str">
        <f ca="1">IFERROR(__xludf.DUMMYFUNCTION("""COMPUTED_VALUE"""),"Asia Direct")</f>
        <v>Asia Direct</v>
      </c>
      <c r="T41" s="1" t="str">
        <f ca="1">IFERROR(__xludf.DUMMYFUNCTION("""COMPUTED_VALUE"""),"Ruvako")</f>
        <v>Ruvako</v>
      </c>
      <c r="U41" s="1"/>
      <c r="V41" s="1" t="str">
        <f ca="1">IFERROR(__xludf.DUMMYFUNCTION("""COMPUTED_VALUE"""),"FN70NRGP")</f>
        <v>FN70NRGP</v>
      </c>
      <c r="W41" s="1" t="str">
        <f ca="1">IFERROR(__xludf.DUMMYFUNCTION("""COMPUTED_VALUE"""),"Goods awaiting release by the government agency")</f>
        <v>Goods awaiting release by the government agency</v>
      </c>
      <c r="X41" s="1"/>
      <c r="Y41" s="3">
        <f ca="1">IFERROR(__xludf.DUMMYFUNCTION("""COMPUTED_VALUE"""),45141)</f>
        <v>45141</v>
      </c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 t="str">
        <f ca="1">IFERROR(__xludf.DUMMYFUNCTION("""COMPUTED_VALUE"""),"DL24")</f>
        <v>DL24</v>
      </c>
      <c r="B43" s="1" t="str">
        <f ca="1">IFERROR(__xludf.DUMMYFUNCTION("""COMPUTED_VALUE"""),"Brad")</f>
        <v>Brad</v>
      </c>
      <c r="C43" s="1" t="str">
        <f ca="1">IFERROR(__xludf.DUMMYFUNCTION("""COMPUTED_VALUE"""),"Delivered")</f>
        <v>Delivered</v>
      </c>
      <c r="D43" s="3">
        <f ca="1">IFERROR(__xludf.DUMMYFUNCTION("""COMPUTED_VALUE"""),45142)</f>
        <v>45142</v>
      </c>
      <c r="E43" s="1" t="str">
        <f ca="1">IFERROR(__xludf.DUMMYFUNCTION("""COMPUTED_VALUE"""),"Shekou")</f>
        <v>Shekou</v>
      </c>
      <c r="F43" s="1" t="str">
        <f ca="1">IFERROR(__xludf.DUMMYFUNCTION("""COMPUTED_VALUE"""),"Durban")</f>
        <v>Durban</v>
      </c>
      <c r="G43" s="3">
        <f ca="1">IFERROR(__xludf.DUMMYFUNCTION("""COMPUTED_VALUE"""),45157)</f>
        <v>45157</v>
      </c>
      <c r="H43" s="3">
        <f ca="1">IFERROR(__xludf.DUMMYFUNCTION("""COMPUTED_VALUE"""),45157)</f>
        <v>45157</v>
      </c>
      <c r="I43" s="1" t="str">
        <f ca="1">IFERROR(__xludf.DUMMYFUNCTION("""COMPUTED_VALUE"""),"OBD Logistics")</f>
        <v>OBD Logistics</v>
      </c>
      <c r="J43" s="1" t="str">
        <f ca="1">IFERROR(__xludf.DUMMYFUNCTION("""COMPUTED_VALUE"""),"Sea")</f>
        <v>Sea</v>
      </c>
      <c r="K43" s="1"/>
      <c r="L43" s="1" t="str">
        <f ca="1">IFERROR(__xludf.DUMMYFUNCTION("""COMPUTED_VALUE"""),"BEAR MOUNTAIN BRIDGE")</f>
        <v>BEAR MOUNTAIN BRIDGE</v>
      </c>
      <c r="M43" s="1" t="str">
        <f ca="1">IFERROR(__xludf.DUMMYFUNCTION("""COMPUTED_VALUE"""),"LLLJHB23727292")</f>
        <v>LLLJHB23727292</v>
      </c>
      <c r="N43" s="1"/>
      <c r="O43" s="1" t="str">
        <f ca="1">IFERROR(__xludf.DUMMYFUNCTION("""COMPUTED_VALUE"""),"Original Bill of Lading")</f>
        <v>Original Bill of Lading</v>
      </c>
      <c r="P43" s="1"/>
      <c r="Q43" s="1"/>
      <c r="R43" s="1" t="str">
        <f ca="1">IFERROR(__xludf.DUMMYFUNCTION("""COMPUTED_VALUE"""),"Afristar")</f>
        <v>Afristar</v>
      </c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 t="str">
        <f ca="1">IFERROR(__xludf.DUMMYFUNCTION("""COMPUTED_VALUE"""),"DL29")</f>
        <v>DL29</v>
      </c>
      <c r="B45" s="1" t="str">
        <f ca="1">IFERROR(__xludf.DUMMYFUNCTION("""COMPUTED_VALUE"""),"Brent Badenhorst")</f>
        <v>Brent Badenhorst</v>
      </c>
      <c r="C45" s="1" t="str">
        <f ca="1">IFERROR(__xludf.DUMMYFUNCTION("""COMPUTED_VALUE"""),"Delivered")</f>
        <v>Delivered</v>
      </c>
      <c r="D45" s="3">
        <f ca="1">IFERROR(__xludf.DUMMYFUNCTION("""COMPUTED_VALUE"""),45142)</f>
        <v>45142</v>
      </c>
      <c r="E45" s="1" t="str">
        <f ca="1">IFERROR(__xludf.DUMMYFUNCTION("""COMPUTED_VALUE"""),"Shekou")</f>
        <v>Shekou</v>
      </c>
      <c r="F45" s="1" t="str">
        <f ca="1">IFERROR(__xludf.DUMMYFUNCTION("""COMPUTED_VALUE"""),"Durban")</f>
        <v>Durban</v>
      </c>
      <c r="G45" s="3">
        <f ca="1">IFERROR(__xludf.DUMMYFUNCTION("""COMPUTED_VALUE"""),45157)</f>
        <v>45157</v>
      </c>
      <c r="H45" s="3">
        <f ca="1">IFERROR(__xludf.DUMMYFUNCTION("""COMPUTED_VALUE"""),45157)</f>
        <v>45157</v>
      </c>
      <c r="I45" s="1" t="str">
        <f ca="1">IFERROR(__xludf.DUMMYFUNCTION("""COMPUTED_VALUE"""),"OBD Logistics")</f>
        <v>OBD Logistics</v>
      </c>
      <c r="J45" s="1" t="str">
        <f ca="1">IFERROR(__xludf.DUMMYFUNCTION("""COMPUTED_VALUE"""),"Sea")</f>
        <v>Sea</v>
      </c>
      <c r="K45" s="1" t="str">
        <f ca="1">IFERROR(__xludf.DUMMYFUNCTION("""COMPUTED_VALUE"""),"BEAR MOUNTAIN BRIDGE")</f>
        <v>BEAR MOUNTAIN BRIDGE</v>
      </c>
      <c r="L45" s="1"/>
      <c r="M45" s="1" t="str">
        <f ca="1">IFERROR(__xludf.DUMMYFUNCTION("""COMPUTED_VALUE"""),"LLLJHB23727292")</f>
        <v>LLLJHB23727292</v>
      </c>
      <c r="N45" s="1"/>
      <c r="O45" s="1" t="str">
        <f ca="1">IFERROR(__xludf.DUMMYFUNCTION("""COMPUTED_VALUE"""),"Original Bill of Lading")</f>
        <v>Original Bill of Lading</v>
      </c>
      <c r="P45" s="1"/>
      <c r="Q45" s="1"/>
      <c r="R45" s="1" t="str">
        <f ca="1">IFERROR(__xludf.DUMMYFUNCTION("""COMPUTED_VALUE"""),"Afristar")</f>
        <v>Afristar</v>
      </c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 t="str">
        <f ca="1">IFERROR(__xludf.DUMMYFUNCTION("""COMPUTED_VALUE"""),"DL17")</f>
        <v>DL17</v>
      </c>
      <c r="B49" s="1" t="str">
        <f ca="1">IFERROR(__xludf.DUMMYFUNCTION("""COMPUTED_VALUE"""),"Lwams Africa Group")</f>
        <v>Lwams Africa Group</v>
      </c>
      <c r="C49" s="1" t="str">
        <f ca="1">IFERROR(__xludf.DUMMYFUNCTION("""COMPUTED_VALUE"""),"Delivered")</f>
        <v>Delivered</v>
      </c>
      <c r="D49" s="3">
        <f ca="1">IFERROR(__xludf.DUMMYFUNCTION("""COMPUTED_VALUE"""),45145)</f>
        <v>45145</v>
      </c>
      <c r="E49" s="1" t="str">
        <f ca="1">IFERROR(__xludf.DUMMYFUNCTION("""COMPUTED_VALUE"""),"Ningbo")</f>
        <v>Ningbo</v>
      </c>
      <c r="F49" s="1" t="str">
        <f ca="1">IFERROR(__xludf.DUMMYFUNCTION("""COMPUTED_VALUE"""),"Johannesburg")</f>
        <v>Johannesburg</v>
      </c>
      <c r="G49" s="3">
        <f ca="1">IFERROR(__xludf.DUMMYFUNCTION("""COMPUTED_VALUE"""),45148)</f>
        <v>45148</v>
      </c>
      <c r="H49" s="3">
        <f ca="1">IFERROR(__xludf.DUMMYFUNCTION("""COMPUTED_VALUE"""),45179)</f>
        <v>45179</v>
      </c>
      <c r="I49" s="1" t="str">
        <f ca="1">IFERROR(__xludf.DUMMYFUNCTION("""COMPUTED_VALUE"""),"OBD Logistics")</f>
        <v>OBD Logistics</v>
      </c>
      <c r="J49" s="1" t="str">
        <f ca="1">IFERROR(__xludf.DUMMYFUNCTION("""COMPUTED_VALUE"""),"Sea")</f>
        <v>Sea</v>
      </c>
      <c r="K49" s="1"/>
      <c r="L49" s="1" t="str">
        <f ca="1">IFERROR(__xludf.DUMMYFUNCTION("""COMPUTED_VALUE"""),"11 015W")</f>
        <v>11 015W</v>
      </c>
      <c r="M49" s="1"/>
      <c r="N49" s="1" t="str">
        <f ca="1">IFERROR(__xludf.DUMMYFUNCTION("""COMPUTED_VALUE"""),"LLLJHB23811222NB")</f>
        <v>LLLJHB23811222NB</v>
      </c>
      <c r="O49" s="1" t="str">
        <f ca="1">IFERROR(__xludf.DUMMYFUNCTION("""COMPUTED_VALUE"""),"Original Bill of Lading")</f>
        <v>Original Bill of Lading</v>
      </c>
      <c r="P49" s="1"/>
      <c r="Q49" s="1"/>
      <c r="R49" s="1" t="str">
        <f ca="1">IFERROR(__xludf.DUMMYFUNCTION("""COMPUTED_VALUE"""),"Afristar")</f>
        <v>Afristar</v>
      </c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 t="str">
        <f ca="1">IFERROR(__xludf.DUMMYFUNCTION("""COMPUTED_VALUE"""),"DL35")</f>
        <v>DL35</v>
      </c>
      <c r="B52" s="1" t="str">
        <f ca="1">IFERROR(__xludf.DUMMYFUNCTION("""COMPUTED_VALUE"""),"Endulo Medical")</f>
        <v>Endulo Medical</v>
      </c>
      <c r="C52" s="1" t="str">
        <f ca="1">IFERROR(__xludf.DUMMYFUNCTION("""COMPUTED_VALUE"""),"Delivered")</f>
        <v>Delivered</v>
      </c>
      <c r="D52" s="3">
        <f ca="1">IFERROR(__xludf.DUMMYFUNCTION("""COMPUTED_VALUE"""),45145)</f>
        <v>45145</v>
      </c>
      <c r="E52" s="1" t="str">
        <f ca="1">IFERROR(__xludf.DUMMYFUNCTION("""COMPUTED_VALUE"""),"SHANGAI")</f>
        <v>SHANGAI</v>
      </c>
      <c r="F52" s="1" t="str">
        <f ca="1">IFERROR(__xludf.DUMMYFUNCTION("""COMPUTED_VALUE"""),"DURBAN")</f>
        <v>DURBAN</v>
      </c>
      <c r="G52" s="3">
        <f ca="1">IFERROR(__xludf.DUMMYFUNCTION("""COMPUTED_VALUE"""),45160)</f>
        <v>45160</v>
      </c>
      <c r="H52" s="3">
        <f ca="1">IFERROR(__xludf.DUMMYFUNCTION("""COMPUTED_VALUE"""),45160)</f>
        <v>45160</v>
      </c>
      <c r="I52" s="1"/>
      <c r="J52" s="1" t="str">
        <f ca="1">IFERROR(__xludf.DUMMYFUNCTION("""COMPUTED_VALUE"""),"Sea")</f>
        <v>Sea</v>
      </c>
      <c r="K52" s="1" t="str">
        <f ca="1">IFERROR(__xludf.DUMMYFUNCTION("""COMPUTED_VALUE"""),"CCSA")</f>
        <v>CCSA</v>
      </c>
      <c r="L52" s="1" t="str">
        <f ca="1">IFERROR(__xludf.DUMMYFUNCTION("""COMPUTED_VALUE"""),"SAN FERNANDO")</f>
        <v>SAN FERNANDO</v>
      </c>
      <c r="M52" s="1" t="str">
        <f ca="1">IFERROR(__xludf.DUMMYFUNCTION("""COMPUTED_VALUE"""),"CHN0401977")</f>
        <v>CHN0401977</v>
      </c>
      <c r="N52" s="1" t="str">
        <f ca="1">IFERROR(__xludf.DUMMYFUNCTION("""COMPUTED_VALUE"""),"20085460HHSE3064775")</f>
        <v>20085460HHSE3064775</v>
      </c>
      <c r="O52" s="1" t="str">
        <f ca="1">IFERROR(__xludf.DUMMYFUNCTION("""COMPUTED_VALUE"""),"Original Bill of Lading")</f>
        <v>Original Bill of Lading</v>
      </c>
      <c r="P52" s="1" t="str">
        <f ca="1">IFERROR(__xludf.DUMMYFUNCTION("""COMPUTED_VALUE"""),"TEMU9873602")</f>
        <v>TEMU9873602</v>
      </c>
      <c r="Q52" s="1" t="str">
        <f ca="1">IFERROR(__xludf.DUMMYFUNCTION("""COMPUTED_VALUE"""),"H9606634")</f>
        <v>H9606634</v>
      </c>
      <c r="R52" s="1" t="str">
        <f ca="1">IFERROR(__xludf.DUMMYFUNCTION("""COMPUTED_VALUE"""),"DN FREIGHT")</f>
        <v>DN FREIGHT</v>
      </c>
      <c r="S52" s="1" t="str">
        <f ca="1">IFERROR(__xludf.DUMMYFUNCTION("""COMPUTED_VALUE"""),"Asia Direct")</f>
        <v>Asia Direct</v>
      </c>
      <c r="T52" s="1" t="str">
        <f ca="1">IFERROR(__xludf.DUMMYFUNCTION("""COMPUTED_VALUE"""),"Hassan")</f>
        <v>Hassan</v>
      </c>
      <c r="U52" s="1"/>
      <c r="V52" s="1" t="str">
        <f ca="1">IFERROR(__xludf.DUMMYFUNCTION("""COMPUTED_VALUE"""),"JV14RRGP")</f>
        <v>JV14RRGP</v>
      </c>
      <c r="W52" s="1"/>
      <c r="X52" s="1"/>
      <c r="Y52" s="1"/>
      <c r="Z52" s="1"/>
    </row>
    <row r="53" spans="1:26" x14ac:dyDescent="0.3">
      <c r="A53" s="1" t="str">
        <f ca="1">IFERROR(__xludf.DUMMYFUNCTION("""COMPUTED_VALUE"""),"DL46")</f>
        <v>DL46</v>
      </c>
      <c r="B53" s="1" t="str">
        <f ca="1">IFERROR(__xludf.DUMMYFUNCTION("""COMPUTED_VALUE"""),"Filter Industries")</f>
        <v>Filter Industries</v>
      </c>
      <c r="C53" s="1" t="str">
        <f ca="1">IFERROR(__xludf.DUMMYFUNCTION("""COMPUTED_VALUE"""),"Delivered")</f>
        <v>Delivered</v>
      </c>
      <c r="D53" s="3">
        <f ca="1">IFERROR(__xludf.DUMMYFUNCTION("""COMPUTED_VALUE"""),45164)</f>
        <v>45164</v>
      </c>
      <c r="E53" s="1" t="str">
        <f ca="1">IFERROR(__xludf.DUMMYFUNCTION("""COMPUTED_VALUE"""),"Qingdao")</f>
        <v>Qingdao</v>
      </c>
      <c r="F53" s="1" t="str">
        <f ca="1">IFERROR(__xludf.DUMMYFUNCTION("""COMPUTED_VALUE"""),"Durban")</f>
        <v>Durban</v>
      </c>
      <c r="G53" s="3">
        <f ca="1">IFERROR(__xludf.DUMMYFUNCTION("""COMPUTED_VALUE"""),45181)</f>
        <v>45181</v>
      </c>
      <c r="H53" s="3">
        <f ca="1">IFERROR(__xludf.DUMMYFUNCTION("""COMPUTED_VALUE"""),45181)</f>
        <v>45181</v>
      </c>
      <c r="I53" s="1" t="str">
        <f ca="1">IFERROR(__xludf.DUMMYFUNCTION("""COMPUTED_VALUE"""),"OBD Logistics")</f>
        <v>OBD Logistics</v>
      </c>
      <c r="J53" s="1" t="str">
        <f ca="1">IFERROR(__xludf.DUMMYFUNCTION("""COMPUTED_VALUE"""),"Sea")</f>
        <v>Sea</v>
      </c>
      <c r="K53" s="1" t="str">
        <f ca="1">IFERROR(__xludf.DUMMYFUNCTION("""COMPUTED_VALUE"""),"MAERSK")</f>
        <v>MAERSK</v>
      </c>
      <c r="L53" s="1" t="str">
        <f ca="1">IFERROR(__xludf.DUMMYFUNCTION("""COMPUTED_VALUE"""),"CMA CGM DON PASCUALE")</f>
        <v>CMA CGM DON PASCUALE</v>
      </c>
      <c r="M53" s="1" t="str">
        <f ca="1">IFERROR(__xludf.DUMMYFUNCTION("""COMPUTED_VALUE"""),"273208978")</f>
        <v>273208978</v>
      </c>
      <c r="N53" s="1"/>
      <c r="O53" s="1" t="str">
        <f ca="1">IFERROR(__xludf.DUMMYFUNCTION("""COMPUTED_VALUE"""),"Original Bill of Lading")</f>
        <v>Original Bill of Lading</v>
      </c>
      <c r="P53" s="1" t="str">
        <f ca="1">IFERROR(__xludf.DUMMYFUNCTION("""COMPUTED_VALUE"""),"BSIU2031630")</f>
        <v>BSIU2031630</v>
      </c>
      <c r="Q53" s="1" t="str">
        <f ca="1">IFERROR(__xludf.DUMMYFUNCTION("""COMPUTED_VALUE"""),"ML-CN3856449")</f>
        <v>ML-CN3856449</v>
      </c>
      <c r="R53" s="1" t="str">
        <f ca="1">IFERROR(__xludf.DUMMYFUNCTION("""COMPUTED_VALUE"""),"Maersk Line")</f>
        <v>Maersk Line</v>
      </c>
      <c r="S53" s="1" t="str">
        <f ca="1">IFERROR(__xludf.DUMMYFUNCTION("""COMPUTED_VALUE"""),"Greens Transport")</f>
        <v>Greens Transport</v>
      </c>
      <c r="T53" s="1"/>
      <c r="U53" s="1"/>
      <c r="V53" s="1"/>
      <c r="W53" s="1"/>
      <c r="X53" s="1"/>
      <c r="Y53" s="1"/>
      <c r="Z53" s="1"/>
    </row>
    <row r="54" spans="1:26" x14ac:dyDescent="0.3">
      <c r="A54" s="1" t="str">
        <f ca="1">IFERROR(__xludf.DUMMYFUNCTION("""COMPUTED_VALUE"""),"DL45")</f>
        <v>DL45</v>
      </c>
      <c r="B54" s="1" t="str">
        <f ca="1">IFERROR(__xludf.DUMMYFUNCTION("""COMPUTED_VALUE"""),"Top Tech Catering")</f>
        <v>Top Tech Catering</v>
      </c>
      <c r="C54" s="1" t="str">
        <f ca="1">IFERROR(__xludf.DUMMYFUNCTION("""COMPUTED_VALUE"""),"Delivered")</f>
        <v>Delivered</v>
      </c>
      <c r="D54" s="3">
        <f ca="1">IFERROR(__xludf.DUMMYFUNCTION("""COMPUTED_VALUE"""),45164)</f>
        <v>45164</v>
      </c>
      <c r="E54" s="1" t="str">
        <f ca="1">IFERROR(__xludf.DUMMYFUNCTION("""COMPUTED_VALUE"""),"Shekou")</f>
        <v>Shekou</v>
      </c>
      <c r="F54" s="1" t="str">
        <f ca="1">IFERROR(__xludf.DUMMYFUNCTION("""COMPUTED_VALUE"""),"Durban")</f>
        <v>Durban</v>
      </c>
      <c r="G54" s="3">
        <f ca="1">IFERROR(__xludf.DUMMYFUNCTION("""COMPUTED_VALUE"""),45179)</f>
        <v>45179</v>
      </c>
      <c r="H54" s="3">
        <f ca="1">IFERROR(__xludf.DUMMYFUNCTION("""COMPUTED_VALUE"""),45179)</f>
        <v>45179</v>
      </c>
      <c r="I54" s="1" t="str">
        <f ca="1">IFERROR(__xludf.DUMMYFUNCTION("""COMPUTED_VALUE"""),"OBD Logistics")</f>
        <v>OBD Logistics</v>
      </c>
      <c r="J54" s="1" t="str">
        <f ca="1">IFERROR(__xludf.DUMMYFUNCTION("""COMPUTED_VALUE"""),"Sea")</f>
        <v>Sea</v>
      </c>
      <c r="K54" s="1" t="str">
        <f ca="1">IFERROR(__xludf.DUMMYFUNCTION("""COMPUTED_VALUE"""),"COS")</f>
        <v>COS</v>
      </c>
      <c r="L54" s="1" t="str">
        <f ca="1">IFERROR(__xludf.DUMMYFUNCTION("""COMPUTED_VALUE"""),"MALIAKOS")</f>
        <v>MALIAKOS</v>
      </c>
      <c r="M54" s="1" t="str">
        <f ca="1">IFERROR(__xludf.DUMMYFUNCTION("""COMPUTED_VALUE"""),"OOLU2723044610")</f>
        <v>OOLU2723044610</v>
      </c>
      <c r="N54" s="1"/>
      <c r="O54" s="1" t="str">
        <f ca="1">IFERROR(__xludf.DUMMYFUNCTION("""COMPUTED_VALUE"""),"Original Bill of Lading")</f>
        <v>Original Bill of Lading</v>
      </c>
      <c r="P54" s="1" t="str">
        <f ca="1">IFERROR(__xludf.DUMMYFUNCTION("""COMPUTED_VALUE"""),"FFAU2560250")</f>
        <v>FFAU2560250</v>
      </c>
      <c r="Q54" s="1" t="str">
        <f ca="1">IFERROR(__xludf.DUMMYFUNCTION("""COMPUTED_VALUE"""),"OOLHHA0117")</f>
        <v>OOLHHA0117</v>
      </c>
      <c r="R54" s="1"/>
      <c r="S54" s="1" t="str">
        <f ca="1">IFERROR(__xludf.DUMMYFUNCTION("""COMPUTED_VALUE"""),"Alpha Shipping")</f>
        <v>Alpha Shipping</v>
      </c>
      <c r="T54" s="1" t="str">
        <f ca="1">IFERROR(__xludf.DUMMYFUNCTION("""COMPUTED_VALUE"""),"Jerome Lottus")</f>
        <v>Jerome Lottus</v>
      </c>
      <c r="U54" s="1"/>
      <c r="V54" s="1"/>
      <c r="W54" s="1"/>
      <c r="X54" s="1"/>
      <c r="Y54" s="1"/>
      <c r="Z54" s="1"/>
    </row>
    <row r="55" spans="1:26" x14ac:dyDescent="0.3">
      <c r="A55" s="1" t="str">
        <f ca="1">IFERROR(__xludf.DUMMYFUNCTION("""COMPUTED_VALUE"""),"DL50")</f>
        <v>DL50</v>
      </c>
      <c r="B55" s="1" t="str">
        <f ca="1">IFERROR(__xludf.DUMMYFUNCTION("""COMPUTED_VALUE"""),"Indi &amp; Oak")</f>
        <v>Indi &amp; Oak</v>
      </c>
      <c r="C55" s="1" t="str">
        <f ca="1">IFERROR(__xludf.DUMMYFUNCTION("""COMPUTED_VALUE"""),"Delivered")</f>
        <v>Delivered</v>
      </c>
      <c r="D55" s="3">
        <f ca="1">IFERROR(__xludf.DUMMYFUNCTION("""COMPUTED_VALUE"""),45177)</f>
        <v>45177</v>
      </c>
      <c r="E55" s="1" t="str">
        <f ca="1">IFERROR(__xludf.DUMMYFUNCTION("""COMPUTED_VALUE"""),"Shenzhou")</f>
        <v>Shenzhou</v>
      </c>
      <c r="F55" s="1" t="str">
        <f ca="1">IFERROR(__xludf.DUMMYFUNCTION("""COMPUTED_VALUE"""),"Durban")</f>
        <v>Durban</v>
      </c>
      <c r="G55" s="3">
        <f ca="1">IFERROR(__xludf.DUMMYFUNCTION("""COMPUTED_VALUE"""),45182)</f>
        <v>45182</v>
      </c>
      <c r="H55" s="3">
        <f ca="1">IFERROR(__xludf.DUMMYFUNCTION("""COMPUTED_VALUE"""),45182)</f>
        <v>45182</v>
      </c>
      <c r="I55" s="1" t="str">
        <f ca="1">IFERROR(__xludf.DUMMYFUNCTION("""COMPUTED_VALUE"""),"OBD Logistics")</f>
        <v>OBD Logistics</v>
      </c>
      <c r="J55" s="1" t="str">
        <f ca="1">IFERROR(__xludf.DUMMYFUNCTION("""COMPUTED_VALUE"""),"Air")</f>
        <v>Air</v>
      </c>
      <c r="K55" s="1" t="str">
        <f ca="1">IFERROR(__xludf.DUMMYFUNCTION("""COMPUTED_VALUE"""),"OBD Logistics Co ltd")</f>
        <v>OBD Logistics Co ltd</v>
      </c>
      <c r="L55" s="1" t="str">
        <f ca="1">IFERROR(__xludf.DUMMYFUNCTION("""COMPUTED_VALUE"""),"Ethopian Air lines")</f>
        <v>Ethopian Air lines</v>
      </c>
      <c r="M55" s="1"/>
      <c r="N55" s="1"/>
      <c r="O55" s="1" t="str">
        <f ca="1">IFERROR(__xludf.DUMMYFUNCTION("""COMPUTED_VALUE"""),"Express Bill of Lading")</f>
        <v>Express Bill of Lading</v>
      </c>
      <c r="P55" s="1" t="str">
        <f ca="1">IFERROR(__xludf.DUMMYFUNCTION("""COMPUTED_VALUE"""),"OTPU1903100")</f>
        <v>OTPU1903100</v>
      </c>
      <c r="Q55" s="1" t="str">
        <f ca="1">IFERROR(__xludf.DUMMYFUNCTION("""COMPUTED_VALUE"""),"CNBR78986")</f>
        <v>CNBR78986</v>
      </c>
      <c r="R55" s="1" t="str">
        <f ca="1">IFERROR(__xludf.DUMMYFUNCTION("""COMPUTED_VALUE"""),"Afristar")</f>
        <v>Afristar</v>
      </c>
      <c r="S55" s="1" t="str">
        <f ca="1">IFERROR(__xludf.DUMMYFUNCTION("""COMPUTED_VALUE"""),"Asia Direct")</f>
        <v>Asia Direct</v>
      </c>
      <c r="T55" s="1" t="str">
        <f ca="1">IFERROR(__xludf.DUMMYFUNCTION("""COMPUTED_VALUE"""),"Ruvako M")</f>
        <v>Ruvako M</v>
      </c>
      <c r="U55" s="1"/>
      <c r="V55" s="1" t="str">
        <f ca="1">IFERROR(__xludf.DUMMYFUNCTION("""COMPUTED_VALUE"""),"FN70NRGP")</f>
        <v>FN70NRGP</v>
      </c>
      <c r="W55" s="1"/>
      <c r="X55" s="1"/>
      <c r="Y55" s="1"/>
      <c r="Z55" s="1"/>
    </row>
    <row r="56" spans="1:26" x14ac:dyDescent="0.3">
      <c r="A56" s="1" t="str">
        <f ca="1">IFERROR(__xludf.DUMMYFUNCTION("""COMPUTED_VALUE"""),"DL43")</f>
        <v>DL43</v>
      </c>
      <c r="B56" s="1" t="str">
        <f ca="1">IFERROR(__xludf.DUMMYFUNCTION("""COMPUTED_VALUE"""),"Mothupi Kgopa")</f>
        <v>Mothupi Kgopa</v>
      </c>
      <c r="C56" s="1" t="str">
        <f ca="1">IFERROR(__xludf.DUMMYFUNCTION("""COMPUTED_VALUE"""),"Delivered")</f>
        <v>Delivered</v>
      </c>
      <c r="D56" s="3">
        <f ca="1">IFERROR(__xludf.DUMMYFUNCTION("""COMPUTED_VALUE"""),45179)</f>
        <v>45179</v>
      </c>
      <c r="E56" s="1" t="str">
        <f ca="1">IFERROR(__xludf.DUMMYFUNCTION("""COMPUTED_VALUE"""),"Hong Kong")</f>
        <v>Hong Kong</v>
      </c>
      <c r="F56" s="1" t="str">
        <f ca="1">IFERROR(__xludf.DUMMYFUNCTION("""COMPUTED_VALUE"""),"JHB")</f>
        <v>JHB</v>
      </c>
      <c r="G56" s="3">
        <f ca="1">IFERROR(__xludf.DUMMYFUNCTION("""COMPUTED_VALUE"""),45197)</f>
        <v>45197</v>
      </c>
      <c r="H56" s="3">
        <f ca="1">IFERROR(__xludf.DUMMYFUNCTION("""COMPUTED_VALUE"""),45197)</f>
        <v>45197</v>
      </c>
      <c r="I56" s="1" t="str">
        <f ca="1">IFERROR(__xludf.DUMMYFUNCTION("""COMPUTED_VALUE"""),"OBD Logistics")</f>
        <v>OBD Logistics</v>
      </c>
      <c r="J56" s="1" t="str">
        <f ca="1">IFERROR(__xludf.DUMMYFUNCTION("""COMPUTED_VALUE"""),"Air")</f>
        <v>Air</v>
      </c>
      <c r="K56" s="1"/>
      <c r="L56" s="1"/>
      <c r="M56" s="1"/>
      <c r="N56" s="1"/>
      <c r="O56" s="1" t="str">
        <f ca="1">IFERROR(__xludf.DUMMYFUNCTION("""COMPUTED_VALUE"""),"Express Bill of Lading")</f>
        <v>Express Bill of Lading</v>
      </c>
      <c r="P56" s="1"/>
      <c r="Q56" s="1"/>
      <c r="R56" s="1"/>
      <c r="S56" s="1" t="str">
        <f ca="1">IFERROR(__xludf.DUMMYFUNCTION("""COMPUTED_VALUE"""),"Asia Direct")</f>
        <v>Asia Direct</v>
      </c>
      <c r="T56" s="1" t="str">
        <f ca="1">IFERROR(__xludf.DUMMYFUNCTION("""COMPUTED_VALUE"""),"Ruvako M")</f>
        <v>Ruvako M</v>
      </c>
      <c r="U56" s="1"/>
      <c r="V56" s="1" t="str">
        <f ca="1">IFERROR(__xludf.DUMMYFUNCTION("""COMPUTED_VALUE"""),"FN70NGRP")</f>
        <v>FN70NGRP</v>
      </c>
      <c r="W56" s="1"/>
      <c r="X56" s="1"/>
      <c r="Y56" s="1"/>
      <c r="Z56" s="1"/>
    </row>
    <row r="57" spans="1:26" x14ac:dyDescent="0.3">
      <c r="A57" s="1" t="str">
        <f ca="1">IFERROR(__xludf.DUMMYFUNCTION("""COMPUTED_VALUE"""),"DL51")</f>
        <v>DL51</v>
      </c>
      <c r="B57" s="1" t="str">
        <f ca="1">IFERROR(__xludf.DUMMYFUNCTION("""COMPUTED_VALUE"""),"Patricia Chiloane")</f>
        <v>Patricia Chiloane</v>
      </c>
      <c r="C57" s="1" t="str">
        <f ca="1">IFERROR(__xludf.DUMMYFUNCTION("""COMPUTED_VALUE"""),"Delivered")</f>
        <v>Delivered</v>
      </c>
      <c r="D57" s="3">
        <f ca="1">IFERROR(__xludf.DUMMYFUNCTION("""COMPUTED_VALUE"""),44460)</f>
        <v>44460</v>
      </c>
      <c r="E57" s="1" t="str">
        <f ca="1">IFERROR(__xludf.DUMMYFUNCTION("""COMPUTED_VALUE"""),"HONG KONG")</f>
        <v>HONG KONG</v>
      </c>
      <c r="F57" s="1" t="str">
        <f ca="1">IFERROR(__xludf.DUMMYFUNCTION("""COMPUTED_VALUE"""),"JOHANNESBURG")</f>
        <v>JOHANNESBURG</v>
      </c>
      <c r="G57" s="3">
        <f ca="1">IFERROR(__xludf.DUMMYFUNCTION("""COMPUTED_VALUE"""),45196)</f>
        <v>45196</v>
      </c>
      <c r="H57" s="3">
        <f ca="1">IFERROR(__xludf.DUMMYFUNCTION("""COMPUTED_VALUE"""),45197)</f>
        <v>45197</v>
      </c>
      <c r="I57" s="1" t="str">
        <f ca="1">IFERROR(__xludf.DUMMYFUNCTION("""COMPUTED_VALUE"""),"OBD Logistics")</f>
        <v>OBD Logistics</v>
      </c>
      <c r="J57" s="1" t="str">
        <f ca="1">IFERROR(__xludf.DUMMYFUNCTION("""COMPUTED_VALUE"""),"Air")</f>
        <v>Air</v>
      </c>
      <c r="K57" s="1" t="str">
        <f ca="1">IFERROR(__xludf.DUMMYFUNCTION("""COMPUTED_VALUE"""),"ET 809")</f>
        <v>ET 809</v>
      </c>
      <c r="L57" s="1" t="str">
        <f ca="1">IFERROR(__xludf.DUMMYFUNCTION("""COMPUTED_VALUE"""),"ETHIOPIAN AIRLINES")</f>
        <v>ETHIOPIAN AIRLINES</v>
      </c>
      <c r="M57" s="1" t="str">
        <f ca="1">IFERROR(__xludf.DUMMYFUNCTION("""COMPUTED_VALUE"""),"071-49500835")</f>
        <v>071-49500835</v>
      </c>
      <c r="N57" s="1" t="str">
        <f ca="1">IFERROR(__xludf.DUMMYFUNCTION("""COMPUTED_VALUE"""),"071-49500835")</f>
        <v>071-49500835</v>
      </c>
      <c r="O57" s="1" t="str">
        <f ca="1">IFERROR(__xludf.DUMMYFUNCTION("""COMPUTED_VALUE"""),"Express Bill of Lading")</f>
        <v>Express Bill of Lading</v>
      </c>
      <c r="P57" s="1" t="str">
        <f ca="1">IFERROR(__xludf.DUMMYFUNCTION("""COMPUTED_VALUE"""),"ET 809")</f>
        <v>ET 809</v>
      </c>
      <c r="Q57" s="1" t="str">
        <f ca="1">IFERROR(__xludf.DUMMYFUNCTION("""COMPUTED_VALUE"""),"071-49500835")</f>
        <v>071-49500835</v>
      </c>
      <c r="R57" s="1" t="str">
        <f ca="1">IFERROR(__xludf.DUMMYFUNCTION("""COMPUTED_VALUE"""),"Aero - Link Cargo")</f>
        <v>Aero - Link Cargo</v>
      </c>
      <c r="S57" s="1" t="str">
        <f ca="1">IFERROR(__xludf.DUMMYFUNCTION("""COMPUTED_VALUE"""),"Asia Direct")</f>
        <v>Asia Direct</v>
      </c>
      <c r="T57" s="1" t="str">
        <f ca="1">IFERROR(__xludf.DUMMYFUNCTION("""COMPUTED_VALUE"""),"LIBERT")</f>
        <v>LIBERT</v>
      </c>
      <c r="U57" s="1"/>
      <c r="V57" s="1" t="str">
        <f ca="1">IFERROR(__xludf.DUMMYFUNCTION("""COMPUTED_VALUE"""),"JV 62 BK GP")</f>
        <v>JV 62 BK GP</v>
      </c>
      <c r="W57" s="1"/>
      <c r="X57" s="1"/>
      <c r="Y57" s="1"/>
      <c r="Z57" s="1"/>
    </row>
    <row r="58" spans="1:26" x14ac:dyDescent="0.3">
      <c r="A58" s="1" t="str">
        <f ca="1">IFERROR(__xludf.DUMMYFUNCTION("""COMPUTED_VALUE"""),"DL52")</f>
        <v>DL52</v>
      </c>
      <c r="B58" s="1" t="str">
        <f ca="1">IFERROR(__xludf.DUMMYFUNCTION("""COMPUTED_VALUE"""),"Patricia Chiloane")</f>
        <v>Patricia Chiloane</v>
      </c>
      <c r="C58" s="1" t="str">
        <f ca="1">IFERROR(__xludf.DUMMYFUNCTION("""COMPUTED_VALUE"""),"Delivered")</f>
        <v>Delivered</v>
      </c>
      <c r="D58" s="3">
        <f ca="1">IFERROR(__xludf.DUMMYFUNCTION("""COMPUTED_VALUE"""),45183)</f>
        <v>45183</v>
      </c>
      <c r="E58" s="1" t="str">
        <f ca="1">IFERROR(__xludf.DUMMYFUNCTION("""COMPUTED_VALUE"""),"HONGKONG")</f>
        <v>HONGKONG</v>
      </c>
      <c r="F58" s="1" t="str">
        <f ca="1">IFERROR(__xludf.DUMMYFUNCTION("""COMPUTED_VALUE"""),"OR TAMBO")</f>
        <v>OR TAMBO</v>
      </c>
      <c r="G58" s="3">
        <f ca="1">IFERROR(__xludf.DUMMYFUNCTION("""COMPUTED_VALUE"""),45198)</f>
        <v>45198</v>
      </c>
      <c r="H58" s="3">
        <f ca="1">IFERROR(__xludf.DUMMYFUNCTION("""COMPUTED_VALUE"""),45198)</f>
        <v>45198</v>
      </c>
      <c r="I58" s="1" t="str">
        <f ca="1">IFERROR(__xludf.DUMMYFUNCTION("""COMPUTED_VALUE"""),"OBD Logistics")</f>
        <v>OBD Logistics</v>
      </c>
      <c r="J58" s="1" t="str">
        <f ca="1">IFERROR(__xludf.DUMMYFUNCTION("""COMPUTED_VALUE"""),"Air")</f>
        <v>Air</v>
      </c>
      <c r="K58" s="1"/>
      <c r="L58" s="1"/>
      <c r="M58" s="1"/>
      <c r="N58" s="1"/>
      <c r="O58" s="1"/>
      <c r="P58" s="1"/>
      <c r="Q58" s="1"/>
      <c r="R58" s="1" t="str">
        <f ca="1">IFERROR(__xludf.DUMMYFUNCTION("""COMPUTED_VALUE"""),"Aero - Link Cargo")</f>
        <v>Aero - Link Cargo</v>
      </c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 t="str">
        <f ca="1">IFERROR(__xludf.DUMMYFUNCTION("""COMPUTED_VALUE"""),"DL53")</f>
        <v>DL53</v>
      </c>
      <c r="B59" s="1" t="str">
        <f ca="1">IFERROR(__xludf.DUMMYFUNCTION("""COMPUTED_VALUE"""),"Patricia Chiloane")</f>
        <v>Patricia Chiloane</v>
      </c>
      <c r="C59" s="1" t="str">
        <f ca="1">IFERROR(__xludf.DUMMYFUNCTION("""COMPUTED_VALUE"""),"Delivered")</f>
        <v>Delivered</v>
      </c>
      <c r="D59" s="3">
        <f ca="1">IFERROR(__xludf.DUMMYFUNCTION("""COMPUTED_VALUE"""),45183)</f>
        <v>45183</v>
      </c>
      <c r="E59" s="1" t="str">
        <f ca="1">IFERROR(__xludf.DUMMYFUNCTION("""COMPUTED_VALUE"""),"Hongkong")</f>
        <v>Hongkong</v>
      </c>
      <c r="F59" s="1" t="str">
        <f ca="1">IFERROR(__xludf.DUMMYFUNCTION("""COMPUTED_VALUE"""),"Or Tambo")</f>
        <v>Or Tambo</v>
      </c>
      <c r="G59" s="3">
        <f ca="1">IFERROR(__xludf.DUMMYFUNCTION("""COMPUTED_VALUE"""),45198)</f>
        <v>45198</v>
      </c>
      <c r="H59" s="3">
        <f ca="1">IFERROR(__xludf.DUMMYFUNCTION("""COMPUTED_VALUE"""),45198)</f>
        <v>45198</v>
      </c>
      <c r="I59" s="1" t="str">
        <f ca="1">IFERROR(__xludf.DUMMYFUNCTION("""COMPUTED_VALUE"""),"OBD Logistics")</f>
        <v>OBD Logistics</v>
      </c>
      <c r="J59" s="1" t="str">
        <f ca="1">IFERROR(__xludf.DUMMYFUNCTION("""COMPUTED_VALUE"""),"Air")</f>
        <v>Air</v>
      </c>
      <c r="K59" s="1" t="str">
        <f ca="1">IFERROR(__xludf.DUMMYFUNCTION("""COMPUTED_VALUE"""),"Ethipian airways")</f>
        <v>Ethipian airways</v>
      </c>
      <c r="L59" s="1"/>
      <c r="M59" s="1"/>
      <c r="N59" s="1"/>
      <c r="O59" s="1" t="str">
        <f ca="1">IFERROR(__xludf.DUMMYFUNCTION("""COMPUTED_VALUE"""),"Express Bill of Lading")</f>
        <v>Express Bill of Lading</v>
      </c>
      <c r="P59" s="1"/>
      <c r="Q59" s="1"/>
      <c r="R59" s="1" t="str">
        <f ca="1">IFERROR(__xludf.DUMMYFUNCTION("""COMPUTED_VALUE"""),"Aero - Link Cargo")</f>
        <v>Aero - Link Cargo</v>
      </c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 t="str">
        <f ca="1">IFERROR(__xludf.DUMMYFUNCTION("""COMPUTED_VALUE"""),"DL48")</f>
        <v>DL48</v>
      </c>
      <c r="B60" s="1" t="str">
        <f ca="1">IFERROR(__xludf.DUMMYFUNCTION("""COMPUTED_VALUE"""),"Geleza Tech")</f>
        <v>Geleza Tech</v>
      </c>
      <c r="C60" s="1" t="str">
        <f ca="1">IFERROR(__xludf.DUMMYFUNCTION("""COMPUTED_VALUE"""),"Delivered")</f>
        <v>Delivered</v>
      </c>
      <c r="D60" s="3">
        <f ca="1">IFERROR(__xludf.DUMMYFUNCTION("""COMPUTED_VALUE"""),44825)</f>
        <v>44825</v>
      </c>
      <c r="E60" s="1" t="str">
        <f ca="1">IFERROR(__xludf.DUMMYFUNCTION("""COMPUTED_VALUE"""),"HONGKONG")</f>
        <v>HONGKONG</v>
      </c>
      <c r="F60" s="1" t="str">
        <f ca="1">IFERROR(__xludf.DUMMYFUNCTION("""COMPUTED_VALUE"""),"JOHANNESBURG")</f>
        <v>JOHANNESBURG</v>
      </c>
      <c r="G60" s="3">
        <f ca="1">IFERROR(__xludf.DUMMYFUNCTION("""COMPUTED_VALUE"""),45196)</f>
        <v>45196</v>
      </c>
      <c r="H60" s="3">
        <f ca="1">IFERROR(__xludf.DUMMYFUNCTION("""COMPUTED_VALUE"""),45197)</f>
        <v>45197</v>
      </c>
      <c r="I60" s="1" t="str">
        <f ca="1">IFERROR(__xludf.DUMMYFUNCTION("""COMPUTED_VALUE"""),"OBD Logistics")</f>
        <v>OBD Logistics</v>
      </c>
      <c r="J60" s="1" t="str">
        <f ca="1">IFERROR(__xludf.DUMMYFUNCTION("""COMPUTED_VALUE"""),"Air")</f>
        <v>Air</v>
      </c>
      <c r="K60" s="1" t="str">
        <f ca="1">IFERROR(__xludf.DUMMYFUNCTION("""COMPUTED_VALUE"""),"ET 809")</f>
        <v>ET 809</v>
      </c>
      <c r="L60" s="1" t="str">
        <f ca="1">IFERROR(__xludf.DUMMYFUNCTION("""COMPUTED_VALUE"""),"ETHIOPIAN AIRLINES")</f>
        <v>ETHIOPIAN AIRLINES</v>
      </c>
      <c r="M60" s="1" t="str">
        <f ca="1">IFERROR(__xludf.DUMMYFUNCTION("""COMPUTED_VALUE"""),"071-49500835")</f>
        <v>071-49500835</v>
      </c>
      <c r="N60" s="1" t="str">
        <f ca="1">IFERROR(__xludf.DUMMYFUNCTION("""COMPUTED_VALUE"""),"071-49500835")</f>
        <v>071-49500835</v>
      </c>
      <c r="O60" s="1" t="str">
        <f ca="1">IFERROR(__xludf.DUMMYFUNCTION("""COMPUTED_VALUE"""),"Express Bill of Lading")</f>
        <v>Express Bill of Lading</v>
      </c>
      <c r="P60" s="1" t="str">
        <f ca="1">IFERROR(__xludf.DUMMYFUNCTION("""COMPUTED_VALUE"""),"ET 809")</f>
        <v>ET 809</v>
      </c>
      <c r="Q60" s="1" t="str">
        <f ca="1">IFERROR(__xludf.DUMMYFUNCTION("""COMPUTED_VALUE"""),"071-49500835")</f>
        <v>071-49500835</v>
      </c>
      <c r="R60" s="1" t="str">
        <f ca="1">IFERROR(__xludf.DUMMYFUNCTION("""COMPUTED_VALUE"""),"ETHIOPIAN AIRLINES")</f>
        <v>ETHIOPIAN AIRLINES</v>
      </c>
      <c r="S60" s="1" t="str">
        <f ca="1">IFERROR(__xludf.DUMMYFUNCTION("""COMPUTED_VALUE"""),"Asia Direct")</f>
        <v>Asia Direct</v>
      </c>
      <c r="T60" s="1" t="str">
        <f ca="1">IFERROR(__xludf.DUMMYFUNCTION("""COMPUTED_VALUE"""),"Ruvako M")</f>
        <v>Ruvako M</v>
      </c>
      <c r="U60" s="1"/>
      <c r="V60" s="1" t="str">
        <f ca="1">IFERROR(__xludf.DUMMYFUNCTION("""COMPUTED_VALUE"""),"FN70NRGP")</f>
        <v>FN70NRGP</v>
      </c>
      <c r="W60" s="1" t="str">
        <f ca="1">IFERROR(__xludf.DUMMYFUNCTION("""COMPUTED_VALUE"""),"Cargo has been collected from the port")</f>
        <v>Cargo has been collected from the port</v>
      </c>
      <c r="X60" s="1"/>
      <c r="Y60" s="1"/>
      <c r="Z60" s="1"/>
    </row>
    <row r="61" spans="1:26" x14ac:dyDescent="0.3">
      <c r="A61" s="1" t="str">
        <f ca="1">IFERROR(__xludf.DUMMYFUNCTION("""COMPUTED_VALUE"""),"DL49")</f>
        <v>DL49</v>
      </c>
      <c r="B61" s="1" t="str">
        <f ca="1">IFERROR(__xludf.DUMMYFUNCTION("""COMPUTED_VALUE"""),"Mr Baloyi")</f>
        <v>Mr Baloyi</v>
      </c>
      <c r="C61" s="1" t="str">
        <f ca="1">IFERROR(__xludf.DUMMYFUNCTION("""COMPUTED_VALUE"""),"Delivered")</f>
        <v>Delivered</v>
      </c>
      <c r="D61" s="3">
        <f ca="1">IFERROR(__xludf.DUMMYFUNCTION("""COMPUTED_VALUE"""),45187)</f>
        <v>45187</v>
      </c>
      <c r="E61" s="1" t="str">
        <f ca="1">IFERROR(__xludf.DUMMYFUNCTION("""COMPUTED_VALUE"""),"Shenzhen")</f>
        <v>Shenzhen</v>
      </c>
      <c r="F61" s="1" t="str">
        <f ca="1">IFERROR(__xludf.DUMMYFUNCTION("""COMPUTED_VALUE"""),"Durban")</f>
        <v>Durban</v>
      </c>
      <c r="G61" s="3">
        <f ca="1">IFERROR(__xludf.DUMMYFUNCTION("""COMPUTED_VALUE"""),45202)</f>
        <v>45202</v>
      </c>
      <c r="H61" s="3">
        <f ca="1">IFERROR(__xludf.DUMMYFUNCTION("""COMPUTED_VALUE"""),45202)</f>
        <v>45202</v>
      </c>
      <c r="I61" s="1"/>
      <c r="J61" s="1" t="str">
        <f ca="1">IFERROR(__xludf.DUMMYFUNCTION("""COMPUTED_VALUE"""),"Sea")</f>
        <v>Sea</v>
      </c>
      <c r="K61" s="1" t="str">
        <f ca="1">IFERROR(__xludf.DUMMYFUNCTION("""COMPUTED_VALUE"""),"20796777")</f>
        <v>20796777</v>
      </c>
      <c r="L61" s="1" t="str">
        <f ca="1">IFERROR(__xludf.DUMMYFUNCTION("""COMPUTED_VALUE"""),"Bear Mountain Bridge")</f>
        <v>Bear Mountain Bridge</v>
      </c>
      <c r="M61" s="1"/>
      <c r="N61" s="1" t="str">
        <f ca="1">IFERROR(__xludf.DUMMYFUNCTION("""COMPUTED_VALUE"""),"TZH230731009")</f>
        <v>TZH230731009</v>
      </c>
      <c r="O61" s="1" t="str">
        <f ca="1">IFERROR(__xludf.DUMMYFUNCTION("""COMPUTED_VALUE"""),"Express Bill of Lading")</f>
        <v>Express Bill of Lading</v>
      </c>
      <c r="P61" s="1" t="str">
        <f ca="1">IFERROR(__xludf.DUMMYFUNCTION("""COMPUTED_VALUE"""),"ONEU9020452")</f>
        <v>ONEU9020452</v>
      </c>
      <c r="Q61" s="1" t="str">
        <f ca="1">IFERROR(__xludf.DUMMYFUNCTION("""COMPUTED_VALUE"""),"CNBR82147")</f>
        <v>CNBR82147</v>
      </c>
      <c r="R61" s="1" t="str">
        <f ca="1">IFERROR(__xludf.DUMMYFUNCTION("""COMPUTED_VALUE"""),"Afristar")</f>
        <v>Afristar</v>
      </c>
      <c r="S61" s="1" t="str">
        <f ca="1">IFERROR(__xludf.DUMMYFUNCTION("""COMPUTED_VALUE"""),"Sanbro")</f>
        <v>Sanbro</v>
      </c>
      <c r="T61" s="1" t="str">
        <f ca="1">IFERROR(__xludf.DUMMYFUNCTION("""COMPUTED_VALUE"""),"Dhanesh Sukhoo")</f>
        <v>Dhanesh Sukhoo</v>
      </c>
      <c r="U61" s="1"/>
      <c r="V61" s="1" t="str">
        <f ca="1">IFERROR(__xludf.DUMMYFUNCTION("""COMPUTED_VALUE"""),"ND 831 371")</f>
        <v>ND 831 371</v>
      </c>
      <c r="W61" s="1"/>
      <c r="X61" s="1"/>
      <c r="Y61" s="1"/>
      <c r="Z61" s="1"/>
    </row>
    <row r="62" spans="1:26" x14ac:dyDescent="0.3">
      <c r="A62" s="1" t="str">
        <f ca="1">IFERROR(__xludf.DUMMYFUNCTION("""COMPUTED_VALUE"""),"DL40")</f>
        <v>DL40</v>
      </c>
      <c r="B62" s="1" t="str">
        <f ca="1">IFERROR(__xludf.DUMMYFUNCTION("""COMPUTED_VALUE"""),"Nkosana Motau")</f>
        <v>Nkosana Motau</v>
      </c>
      <c r="C62" s="1" t="str">
        <f ca="1">IFERROR(__xludf.DUMMYFUNCTION("""COMPUTED_VALUE"""),"Delivered")</f>
        <v>Delivered</v>
      </c>
      <c r="D62" s="3">
        <f ca="1">IFERROR(__xludf.DUMMYFUNCTION("""COMPUTED_VALUE"""),45198)</f>
        <v>45198</v>
      </c>
      <c r="E62" s="1" t="str">
        <f ca="1">IFERROR(__xludf.DUMMYFUNCTION("""COMPUTED_VALUE"""),"Hong Kong")</f>
        <v>Hong Kong</v>
      </c>
      <c r="F62" s="1" t="str">
        <f ca="1">IFERROR(__xludf.DUMMYFUNCTION("""COMPUTED_VALUE"""),"OR Tambo")</f>
        <v>OR Tambo</v>
      </c>
      <c r="G62" s="3">
        <f ca="1">IFERROR(__xludf.DUMMYFUNCTION("""COMPUTED_VALUE"""),45213)</f>
        <v>45213</v>
      </c>
      <c r="H62" s="3">
        <f ca="1">IFERROR(__xludf.DUMMYFUNCTION("""COMPUTED_VALUE"""),45213)</f>
        <v>45213</v>
      </c>
      <c r="I62" s="1" t="str">
        <f ca="1">IFERROR(__xludf.DUMMYFUNCTION("""COMPUTED_VALUE"""),"OBD Logistics")</f>
        <v>OBD Logistics</v>
      </c>
      <c r="J62" s="1" t="str">
        <f ca="1">IFERROR(__xludf.DUMMYFUNCTION("""COMPUTED_VALUE"""),"Air")</f>
        <v>Air</v>
      </c>
      <c r="K62" s="1" t="str">
        <f ca="1">IFERROR(__xludf.DUMMYFUNCTION("""COMPUTED_VALUE"""),"ET3685")</f>
        <v>ET3685</v>
      </c>
      <c r="L62" s="1" t="str">
        <f ca="1">IFERROR(__xludf.DUMMYFUNCTION("""COMPUTED_VALUE"""),"Ethopian Air lines")</f>
        <v>Ethopian Air lines</v>
      </c>
      <c r="M62" s="1" t="str">
        <f ca="1">IFERROR(__xludf.DUMMYFUNCTION("""COMPUTED_VALUE"""),"071-49500835")</f>
        <v>071-49500835</v>
      </c>
      <c r="N62" s="1" t="str">
        <f ca="1">IFERROR(__xludf.DUMMYFUNCTION("""COMPUTED_VALUE"""),"071-49500835")</f>
        <v>071-49500835</v>
      </c>
      <c r="O62" s="1" t="str">
        <f ca="1">IFERROR(__xludf.DUMMYFUNCTION("""COMPUTED_VALUE"""),"Express Bill of Lading")</f>
        <v>Express Bill of Lading</v>
      </c>
      <c r="P62" s="1"/>
      <c r="Q62" s="1"/>
      <c r="R62" s="1" t="str">
        <f ca="1">IFERROR(__xludf.DUMMYFUNCTION("""COMPUTED_VALUE"""),"Aero - Link Cargo")</f>
        <v>Aero - Link Cargo</v>
      </c>
      <c r="S62" s="1" t="str">
        <f ca="1">IFERROR(__xludf.DUMMYFUNCTION("""COMPUTED_VALUE"""),"Asia Direct")</f>
        <v>Asia Direct</v>
      </c>
      <c r="T62" s="1" t="str">
        <f ca="1">IFERROR(__xludf.DUMMYFUNCTION("""COMPUTED_VALUE"""),"Smile")</f>
        <v>Smile</v>
      </c>
      <c r="U62" s="1"/>
      <c r="V62" s="1" t="str">
        <f ca="1">IFERROR(__xludf.DUMMYFUNCTION("""COMPUTED_VALUE"""),"KV35HW GP")</f>
        <v>KV35HW GP</v>
      </c>
      <c r="W62" s="1"/>
      <c r="X62" s="1"/>
      <c r="Y62" s="1"/>
      <c r="Z62" s="1"/>
    </row>
    <row r="63" spans="1:26" x14ac:dyDescent="0.3">
      <c r="A63" s="1" t="str">
        <f ca="1">IFERROR(__xludf.DUMMYFUNCTION("""COMPUTED_VALUE"""),"DL59")</f>
        <v>DL59</v>
      </c>
      <c r="B63" s="1" t="str">
        <f ca="1">IFERROR(__xludf.DUMMYFUNCTION("""COMPUTED_VALUE"""),"African Technopreneurs")</f>
        <v>African Technopreneurs</v>
      </c>
      <c r="C63" s="1" t="str">
        <f ca="1">IFERROR(__xludf.DUMMYFUNCTION("""COMPUTED_VALUE"""),"Delivered")</f>
        <v>Delivered</v>
      </c>
      <c r="D63" s="3">
        <f ca="1">IFERROR(__xludf.DUMMYFUNCTION("""COMPUTED_VALUE"""),45202)</f>
        <v>45202</v>
      </c>
      <c r="E63" s="1" t="str">
        <f ca="1">IFERROR(__xludf.DUMMYFUNCTION("""COMPUTED_VALUE"""),"Hong Kong")</f>
        <v>Hong Kong</v>
      </c>
      <c r="F63" s="1" t="str">
        <f ca="1">IFERROR(__xludf.DUMMYFUNCTION("""COMPUTED_VALUE"""),"Johannesburg")</f>
        <v>Johannesburg</v>
      </c>
      <c r="G63" s="3">
        <f ca="1">IFERROR(__xludf.DUMMYFUNCTION("""COMPUTED_VALUE"""),45190)</f>
        <v>45190</v>
      </c>
      <c r="H63" s="3">
        <f ca="1">IFERROR(__xludf.DUMMYFUNCTION("""COMPUTED_VALUE"""),45202)</f>
        <v>45202</v>
      </c>
      <c r="I63" s="1" t="str">
        <f ca="1">IFERROR(__xludf.DUMMYFUNCTION("""COMPUTED_VALUE"""),"Shenzhen Nimbus")</f>
        <v>Shenzhen Nimbus</v>
      </c>
      <c r="J63" s="1" t="str">
        <f ca="1">IFERROR(__xludf.DUMMYFUNCTION("""COMPUTED_VALUE"""),"Air")</f>
        <v>Air</v>
      </c>
      <c r="K63" s="1" t="str">
        <f ca="1">IFERROR(__xludf.DUMMYFUNCTION("""COMPUTED_VALUE"""),"EK 9845")</f>
        <v>EK 9845</v>
      </c>
      <c r="L63" s="1" t="str">
        <f ca="1">IFERROR(__xludf.DUMMYFUNCTION("""COMPUTED_VALUE"""),"EK 9845")</f>
        <v>EK 9845</v>
      </c>
      <c r="M63" s="1" t="str">
        <f ca="1">IFERROR(__xludf.DUMMYFUNCTION("""COMPUTED_VALUE"""),"19681173772")</f>
        <v>19681173772</v>
      </c>
      <c r="N63" s="1" t="str">
        <f ca="1">IFERROR(__xludf.DUMMYFUNCTION("""COMPUTED_VALUE"""),"NBA2309002")</f>
        <v>NBA2309002</v>
      </c>
      <c r="O63" s="1" t="str">
        <f ca="1">IFERROR(__xludf.DUMMYFUNCTION("""COMPUTED_VALUE"""),"Express Bill of Lading")</f>
        <v>Express Bill of Lading</v>
      </c>
      <c r="P63" s="1" t="str">
        <f ca="1">IFERROR(__xludf.DUMMYFUNCTION("""COMPUTED_VALUE"""),"EK 9845")</f>
        <v>EK 9845</v>
      </c>
      <c r="Q63" s="1" t="str">
        <f ca="1">IFERROR(__xludf.DUMMYFUNCTION("""COMPUTED_VALUE"""),"PMC776759EK /Q7")</f>
        <v>PMC776759EK /Q7</v>
      </c>
      <c r="R63" s="1" t="str">
        <f ca="1">IFERROR(__xludf.DUMMYFUNCTION("""COMPUTED_VALUE"""),"WORLD FLIGHT SERVICES")</f>
        <v>WORLD FLIGHT SERVICES</v>
      </c>
      <c r="S63" s="1" t="str">
        <f ca="1">IFERROR(__xludf.DUMMYFUNCTION("""COMPUTED_VALUE"""),"Asia Direct")</f>
        <v>Asia Direct</v>
      </c>
      <c r="T63" s="1" t="str">
        <f ca="1">IFERROR(__xludf.DUMMYFUNCTION("""COMPUTED_VALUE"""),"DALISO")</f>
        <v>DALISO</v>
      </c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 t="str">
        <f ca="1">IFERROR(__xludf.DUMMYFUNCTION("""COMPUTED_VALUE"""),"DL50")</f>
        <v>DL50</v>
      </c>
      <c r="B65" s="1" t="str">
        <f ca="1">IFERROR(__xludf.DUMMYFUNCTION("""COMPUTED_VALUE"""),"Patricia Chiloane")</f>
        <v>Patricia Chiloane</v>
      </c>
      <c r="C65" s="1" t="str">
        <f ca="1">IFERROR(__xludf.DUMMYFUNCTION("""COMPUTED_VALUE"""),"Delivered")</f>
        <v>Delivered</v>
      </c>
      <c r="D65" s="3">
        <f ca="1">IFERROR(__xludf.DUMMYFUNCTION("""COMPUTED_VALUE"""),45190)</f>
        <v>45190</v>
      </c>
      <c r="E65" s="1" t="str">
        <f ca="1">IFERROR(__xludf.DUMMYFUNCTION("""COMPUTED_VALUE"""),"HONG KONG")</f>
        <v>HONG KONG</v>
      </c>
      <c r="F65" s="1" t="str">
        <f ca="1">IFERROR(__xludf.DUMMYFUNCTION("""COMPUTED_VALUE"""),"JOHANNESBURG")</f>
        <v>JOHANNESBURG</v>
      </c>
      <c r="G65" s="3">
        <f ca="1">IFERROR(__xludf.DUMMYFUNCTION("""COMPUTED_VALUE"""),45226)</f>
        <v>45226</v>
      </c>
      <c r="H65" s="3">
        <f ca="1">IFERROR(__xludf.DUMMYFUNCTION("""COMPUTED_VALUE"""),45227)</f>
        <v>45227</v>
      </c>
      <c r="I65" s="1" t="str">
        <f ca="1">IFERROR(__xludf.DUMMYFUNCTION("""COMPUTED_VALUE"""),"OBD Logistics")</f>
        <v>OBD Logistics</v>
      </c>
      <c r="J65" s="1" t="str">
        <f ca="1">IFERROR(__xludf.DUMMYFUNCTION("""COMPUTED_VALUE"""),"Air")</f>
        <v>Air</v>
      </c>
      <c r="K65" s="1" t="str">
        <f ca="1">IFERROR(__xludf.DUMMYFUNCTION("""COMPUTED_VALUE"""),"ET 809")</f>
        <v>ET 809</v>
      </c>
      <c r="L65" s="1" t="str">
        <f ca="1">IFERROR(__xludf.DUMMYFUNCTION("""COMPUTED_VALUE"""),"ETHIOPIAN AIRLINES")</f>
        <v>ETHIOPIAN AIRLINES</v>
      </c>
      <c r="M65" s="1" t="str">
        <f ca="1">IFERROR(__xludf.DUMMYFUNCTION("""COMPUTED_VALUE"""),"071-49500835")</f>
        <v>071-49500835</v>
      </c>
      <c r="N65" s="1" t="str">
        <f ca="1">IFERROR(__xludf.DUMMYFUNCTION("""COMPUTED_VALUE"""),"071-49500835")</f>
        <v>071-49500835</v>
      </c>
      <c r="O65" s="1" t="str">
        <f ca="1">IFERROR(__xludf.DUMMYFUNCTION("""COMPUTED_VALUE"""),"Express Bill of Lading")</f>
        <v>Express Bill of Lading</v>
      </c>
      <c r="P65" s="1" t="str">
        <f ca="1">IFERROR(__xludf.DUMMYFUNCTION("""COMPUTED_VALUE"""),"071-49500835")</f>
        <v>071-49500835</v>
      </c>
      <c r="Q65" s="1" t="str">
        <f ca="1">IFERROR(__xludf.DUMMYFUNCTION("""COMPUTED_VALUE"""),"SMTAE2309-01506")</f>
        <v>SMTAE2309-01506</v>
      </c>
      <c r="R65" s="1" t="str">
        <f ca="1">IFERROR(__xludf.DUMMYFUNCTION("""COMPUTED_VALUE"""),"Aero - Link Cargo")</f>
        <v>Aero - Link Cargo</v>
      </c>
      <c r="S65" s="1" t="str">
        <f ca="1">IFERROR(__xludf.DUMMYFUNCTION("""COMPUTED_VALUE"""),"Asia Direct")</f>
        <v>Asia Direct</v>
      </c>
      <c r="T65" s="1" t="str">
        <f ca="1">IFERROR(__xludf.DUMMYFUNCTION("""COMPUTED_VALUE"""),"LIBERT")</f>
        <v>LIBERT</v>
      </c>
      <c r="U65" s="1"/>
      <c r="V65" s="1" t="str">
        <f ca="1">IFERROR(__xludf.DUMMYFUNCTION("""COMPUTED_VALUE"""),"JV 62 BK GP")</f>
        <v>JV 62 BK GP</v>
      </c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 t="str">
        <f ca="1">IFERROR(__xludf.DUMMYFUNCTION("""COMPUTED_VALUE"""),"DL44")</f>
        <v>DL44</v>
      </c>
      <c r="B67" s="1" t="str">
        <f ca="1">IFERROR(__xludf.DUMMYFUNCTION("""COMPUTED_VALUE"""),"Top Tech Catering")</f>
        <v>Top Tech Catering</v>
      </c>
      <c r="C67" s="1" t="str">
        <f ca="1">IFERROR(__xludf.DUMMYFUNCTION("""COMPUTED_VALUE"""),"Delivered")</f>
        <v>Delivered</v>
      </c>
      <c r="D67" s="3">
        <f ca="1">IFERROR(__xludf.DUMMYFUNCTION("""COMPUTED_VALUE"""),45204)</f>
        <v>45204</v>
      </c>
      <c r="E67" s="1" t="str">
        <f ca="1">IFERROR(__xludf.DUMMYFUNCTION("""COMPUTED_VALUE"""),"SHEKOU")</f>
        <v>SHEKOU</v>
      </c>
      <c r="F67" s="1" t="str">
        <f ca="1">IFERROR(__xludf.DUMMYFUNCTION("""COMPUTED_VALUE"""),"DURBAN")</f>
        <v>DURBAN</v>
      </c>
      <c r="G67" s="3">
        <f ca="1">IFERROR(__xludf.DUMMYFUNCTION("""COMPUTED_VALUE"""),45223)</f>
        <v>45223</v>
      </c>
      <c r="H67" s="3">
        <f ca="1">IFERROR(__xludf.DUMMYFUNCTION("""COMPUTED_VALUE"""),45236)</f>
        <v>45236</v>
      </c>
      <c r="I67" s="1" t="str">
        <f ca="1">IFERROR(__xludf.DUMMYFUNCTION("""COMPUTED_VALUE"""),"OBD Logistics")</f>
        <v>OBD Logistics</v>
      </c>
      <c r="J67" s="1" t="str">
        <f ca="1">IFERROR(__xludf.DUMMYFUNCTION("""COMPUTED_VALUE"""),"Sea")</f>
        <v>Sea</v>
      </c>
      <c r="K67" s="1" t="str">
        <f ca="1">IFERROR(__xludf.DUMMYFUNCTION("""COMPUTED_VALUE"""),"007W")</f>
        <v>007W</v>
      </c>
      <c r="L67" s="1" t="str">
        <f ca="1">IFERROR(__xludf.DUMMYFUNCTION("""COMPUTED_VALUE"""),"SEASPAN TOKYO")</f>
        <v>SEASPAN TOKYO</v>
      </c>
      <c r="M67" s="1" t="str">
        <f ca="1">IFERROR(__xludf.DUMMYFUNCTION("""COMPUTED_VALUE"""),"OOLU2724357348")</f>
        <v>OOLU2724357348</v>
      </c>
      <c r="N67" s="1" t="str">
        <f ca="1">IFERROR(__xludf.DUMMYFUNCTION("""COMPUTED_VALUE"""),"OOLU2724357348")</f>
        <v>OOLU2724357348</v>
      </c>
      <c r="O67" s="1" t="str">
        <f ca="1">IFERROR(__xludf.DUMMYFUNCTION("""COMPUTED_VALUE"""),"Express Bill of Lading")</f>
        <v>Express Bill of Lading</v>
      </c>
      <c r="P67" s="1" t="str">
        <f ca="1">IFERROR(__xludf.DUMMYFUNCTION("""COMPUTED_VALUE"""),"BMOU5842791")</f>
        <v>BMOU5842791</v>
      </c>
      <c r="Q67" s="1" t="str">
        <f ca="1">IFERROR(__xludf.DUMMYFUNCTION("""COMPUTED_VALUE"""),"OOLHHG9049")</f>
        <v>OOLHHG9049</v>
      </c>
      <c r="R67" s="1" t="str">
        <f ca="1">IFERROR(__xludf.DUMMYFUNCTION("""COMPUTED_VALUE"""),"COSCO")</f>
        <v>COSCO</v>
      </c>
      <c r="S67" s="1" t="str">
        <f ca="1">IFERROR(__xludf.DUMMYFUNCTION("""COMPUTED_VALUE"""),"Alpha Shipping")</f>
        <v>Alpha Shipping</v>
      </c>
      <c r="T67" s="1"/>
      <c r="U67" s="1"/>
      <c r="V67" s="1"/>
      <c r="W67" s="1" t="str">
        <f ca="1">IFERROR(__xludf.DUMMYFUNCTION("""COMPUTED_VALUE"""),"ETA 20 October awaiting ANF, Cargo dues to be done and the vessel name is Cosco AQABA..Eta changed to 24 th")</f>
        <v>ETA 20 October awaiting ANF, Cargo dues to be done and the vessel name is Cosco AQABA..Eta changed to 24 th</v>
      </c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 t="str">
        <f ca="1">IFERROR(__xludf.DUMMYFUNCTION("""COMPUTED_VALUE"""),"DL54")</f>
        <v>DL54</v>
      </c>
      <c r="B69" s="1" t="str">
        <f ca="1">IFERROR(__xludf.DUMMYFUNCTION("""COMPUTED_VALUE"""),"Mantwa Mamakhe")</f>
        <v>Mantwa Mamakhe</v>
      </c>
      <c r="C69" s="1" t="str">
        <f ca="1">IFERROR(__xludf.DUMMYFUNCTION("""COMPUTED_VALUE"""),"Delivered")</f>
        <v>Delivered</v>
      </c>
      <c r="D69" s="3">
        <f ca="1">IFERROR(__xludf.DUMMYFUNCTION("""COMPUTED_VALUE"""),45205)</f>
        <v>45205</v>
      </c>
      <c r="E69" s="1" t="str">
        <f ca="1">IFERROR(__xludf.DUMMYFUNCTION("""COMPUTED_VALUE"""),"SHANGHAAI")</f>
        <v>SHANGHAAI</v>
      </c>
      <c r="F69" s="1" t="str">
        <f ca="1">IFERROR(__xludf.DUMMYFUNCTION("""COMPUTED_VALUE"""),"OR TAMBO")</f>
        <v>OR TAMBO</v>
      </c>
      <c r="G69" s="3">
        <f ca="1">IFERROR(__xludf.DUMMYFUNCTION("""COMPUTED_VALUE"""),45241)</f>
        <v>45241</v>
      </c>
      <c r="H69" s="3">
        <f ca="1">IFERROR(__xludf.DUMMYFUNCTION("""COMPUTED_VALUE"""),45236)</f>
        <v>45236</v>
      </c>
      <c r="I69" s="1" t="str">
        <f ca="1">IFERROR(__xludf.DUMMYFUNCTION("""COMPUTED_VALUE"""),"OBD Logistics")</f>
        <v>OBD Logistics</v>
      </c>
      <c r="J69" s="1" t="str">
        <f ca="1">IFERROR(__xludf.DUMMYFUNCTION("""COMPUTED_VALUE"""),"Air")</f>
        <v>Air</v>
      </c>
      <c r="K69" s="1" t="str">
        <f ca="1">IFERROR(__xludf.DUMMYFUNCTION("""COMPUTED_VALUE"""),"FEDEX")</f>
        <v>FEDEX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 t="str">
        <f ca="1">IFERROR(__xludf.DUMMYFUNCTION("""COMPUTED_VALUE"""),"The inkjet printer awaiting for customs check in in China")</f>
        <v>The inkjet printer awaiting for customs check in in China</v>
      </c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 t="str">
        <f ca="1">IFERROR(__xludf.DUMMYFUNCTION("""COMPUTED_VALUE"""),"DL61")</f>
        <v>DL61</v>
      </c>
      <c r="B71" s="1" t="str">
        <f ca="1">IFERROR(__xludf.DUMMYFUNCTION("""COMPUTED_VALUE"""),"Vuyani Ndlovu")</f>
        <v>Vuyani Ndlovu</v>
      </c>
      <c r="C71" s="1" t="str">
        <f ca="1">IFERROR(__xludf.DUMMYFUNCTION("""COMPUTED_VALUE"""),"Delivered")</f>
        <v>Delivered</v>
      </c>
      <c r="D71" s="3">
        <f ca="1">IFERROR(__xludf.DUMMYFUNCTION("""COMPUTED_VALUE"""),45205)</f>
        <v>45205</v>
      </c>
      <c r="E71" s="1" t="str">
        <f ca="1">IFERROR(__xludf.DUMMYFUNCTION("""COMPUTED_VALUE"""),"QINGDAO")</f>
        <v>QINGDAO</v>
      </c>
      <c r="F71" s="1" t="str">
        <f ca="1">IFERROR(__xludf.DUMMYFUNCTION("""COMPUTED_VALUE"""),"DURBAN")</f>
        <v>DURBAN</v>
      </c>
      <c r="G71" s="3">
        <f ca="1">IFERROR(__xludf.DUMMYFUNCTION("""COMPUTED_VALUE"""),45177)</f>
        <v>45177</v>
      </c>
      <c r="H71" s="3">
        <f ca="1">IFERROR(__xludf.DUMMYFUNCTION("""COMPUTED_VALUE"""),45216)</f>
        <v>45216</v>
      </c>
      <c r="I71" s="1" t="str">
        <f ca="1">IFERROR(__xludf.DUMMYFUNCTION("""COMPUTED_VALUE"""),"SACO CFR")</f>
        <v>SACO CFR</v>
      </c>
      <c r="J71" s="1" t="str">
        <f ca="1">IFERROR(__xludf.DUMMYFUNCTION("""COMPUTED_VALUE"""),"Sea")</f>
        <v>Sea</v>
      </c>
      <c r="K71" s="1" t="str">
        <f ca="1">IFERROR(__xludf.DUMMYFUNCTION("""COMPUTED_VALUE"""),"OCEN")</f>
        <v>OCEN</v>
      </c>
      <c r="L71" s="1" t="str">
        <f ca="1">IFERROR(__xludf.DUMMYFUNCTION("""COMPUTED_VALUE"""),"NYK FURANO 066W")</f>
        <v>NYK FURANO 066W</v>
      </c>
      <c r="M71" s="1" t="str">
        <f ca="1">IFERROR(__xludf.DUMMYFUNCTION("""COMPUTED_VALUE"""),"ONEYTA3PYK723400")</f>
        <v>ONEYTA3PYK723400</v>
      </c>
      <c r="N71" s="1" t="str">
        <f ca="1">IFERROR(__xludf.DUMMYFUNCTION("""COMPUTED_VALUE"""),"PDYWX2309022")</f>
        <v>PDYWX2309022</v>
      </c>
      <c r="O71" s="1" t="str">
        <f ca="1">IFERROR(__xludf.DUMMYFUNCTION("""COMPUTED_VALUE"""),"Express Bill of Lading")</f>
        <v>Express Bill of Lading</v>
      </c>
      <c r="P71" s="1" t="str">
        <f ca="1">IFERROR(__xludf.DUMMYFUNCTION("""COMPUTED_VALUE"""),"HF20230724FA1")</f>
        <v>HF20230724FA1</v>
      </c>
      <c r="Q71" s="1" t="str">
        <f ca="1">IFERROR(__xludf.DUMMYFUNCTION("""COMPUTED_VALUE"""),"CN31069AC")</f>
        <v>CN31069AC</v>
      </c>
      <c r="R71" s="1" t="str">
        <f ca="1">IFERROR(__xludf.DUMMYFUNCTION("""COMPUTED_VALUE"""),"CFR")</f>
        <v>CFR</v>
      </c>
      <c r="S71" s="1" t="str">
        <f ca="1">IFERROR(__xludf.DUMMYFUNCTION("""COMPUTED_VALUE"""),"Asia Direct")</f>
        <v>Asia Direct</v>
      </c>
      <c r="T71" s="1" t="str">
        <f ca="1">IFERROR(__xludf.DUMMYFUNCTION("""COMPUTED_VALUE"""),"Self Collection")</f>
        <v>Self Collection</v>
      </c>
      <c r="U71" s="1"/>
      <c r="V71" s="1"/>
      <c r="W71" s="1" t="str">
        <f ca="1">IFERROR(__xludf.DUMMYFUNCTION("""COMPUTED_VALUE"""),"ETA 12 October awaiting DRO, Client is still to make payment. new ETA 17 October.")</f>
        <v>ETA 12 October awaiting DRO, Client is still to make payment. new ETA 17 October.</v>
      </c>
      <c r="X71" s="1"/>
      <c r="Y71" s="1"/>
      <c r="Z71" s="1"/>
    </row>
    <row r="72" spans="1:26" x14ac:dyDescent="0.3">
      <c r="A72" s="1" t="str">
        <f ca="1">IFERROR(__xludf.DUMMYFUNCTION("""COMPUTED_VALUE"""),"DL47")</f>
        <v>DL47</v>
      </c>
      <c r="B72" s="1" t="str">
        <f ca="1">IFERROR(__xludf.DUMMYFUNCTION("""COMPUTED_VALUE"""),"Supra Health Care")</f>
        <v>Supra Health Care</v>
      </c>
      <c r="C72" s="1" t="str">
        <f ca="1">IFERROR(__xludf.DUMMYFUNCTION("""COMPUTED_VALUE"""),"Delivered")</f>
        <v>Delivered</v>
      </c>
      <c r="D72" s="3">
        <f ca="1">IFERROR(__xludf.DUMMYFUNCTION("""COMPUTED_VALUE"""),45176)</f>
        <v>45176</v>
      </c>
      <c r="E72" s="1" t="str">
        <f ca="1">IFERROR(__xludf.DUMMYFUNCTION("""COMPUTED_VALUE"""),"BARCELONA, BCN")</f>
        <v>BARCELONA, BCN</v>
      </c>
      <c r="F72" s="1" t="str">
        <f ca="1">IFERROR(__xludf.DUMMYFUNCTION("""COMPUTED_VALUE"""),"DURBAN")</f>
        <v>DURBAN</v>
      </c>
      <c r="G72" s="3">
        <f ca="1">IFERROR(__xludf.DUMMYFUNCTION("""COMPUTED_VALUE"""),45175)</f>
        <v>45175</v>
      </c>
      <c r="H72" s="3">
        <f ca="1">IFERROR(__xludf.DUMMYFUNCTION("""COMPUTED_VALUE"""),45236)</f>
        <v>45236</v>
      </c>
      <c r="I72" s="1" t="str">
        <f ca="1">IFERROR(__xludf.DUMMYFUNCTION("""COMPUTED_VALUE"""),"SACO CFR")</f>
        <v>SACO CFR</v>
      </c>
      <c r="J72" s="1" t="str">
        <f ca="1">IFERROR(__xludf.DUMMYFUNCTION("""COMPUTED_VALUE"""),"Sea")</f>
        <v>Sea</v>
      </c>
      <c r="K72" s="1" t="str">
        <f ca="1">IFERROR(__xludf.DUMMYFUNCTION("""COMPUTED_VALUE"""),"23026")</f>
        <v>23026</v>
      </c>
      <c r="L72" s="1" t="str">
        <f ca="1">IFERROR(__xludf.DUMMYFUNCTION("""COMPUTED_VALUE"""),"Santa Isabel")</f>
        <v>Santa Isabel</v>
      </c>
      <c r="M72" s="1" t="str">
        <f ca="1">IFERROR(__xludf.DUMMYFUNCTION("""COMPUTED_VALUE"""),"ONEYBCND09061700")</f>
        <v>ONEYBCND09061700</v>
      </c>
      <c r="N72" s="1" t="str">
        <f ca="1">IFERROR(__xludf.DUMMYFUNCTION("""COMPUTED_VALUE"""),"042023082337")</f>
        <v>042023082337</v>
      </c>
      <c r="O72" s="1" t="str">
        <f ca="1">IFERROR(__xludf.DUMMYFUNCTION("""COMPUTED_VALUE"""),"Express Bill of Lading")</f>
        <v>Express Bill of Lading</v>
      </c>
      <c r="P72" s="1" t="str">
        <f ca="1">IFERROR(__xludf.DUMMYFUNCTION("""COMPUTED_VALUE"""),"SEGU5785528")</f>
        <v>SEGU5785528</v>
      </c>
      <c r="Q72" s="1" t="str">
        <f ca="1">IFERROR(__xludf.DUMMYFUNCTION("""COMPUTED_VALUE"""),"ESAC86486")</f>
        <v>ESAC86486</v>
      </c>
      <c r="R72" s="1" t="str">
        <f ca="1">IFERROR(__xludf.DUMMYFUNCTION("""COMPUTED_VALUE"""),"CFR")</f>
        <v>CFR</v>
      </c>
      <c r="S72" s="1" t="str">
        <f ca="1">IFERROR(__xludf.DUMMYFUNCTION("""COMPUTED_VALUE"""),"Asia Direct")</f>
        <v>Asia Direct</v>
      </c>
      <c r="T72" s="1" t="str">
        <f ca="1">IFERROR(__xludf.DUMMYFUNCTION("""COMPUTED_VALUE"""),"Green Hassan")</f>
        <v>Green Hassan</v>
      </c>
      <c r="U72" s="1" t="str">
        <f ca="1">IFERROR(__xludf.DUMMYFUNCTION("""COMPUTED_VALUE"""),"97512 DK")</f>
        <v>97512 DK</v>
      </c>
      <c r="V72" s="1" t="str">
        <f ca="1">IFERROR(__xludf.DUMMYFUNCTION("""COMPUTED_VALUE"""),"JV 14 RR GP")</f>
        <v>JV 14 RR GP</v>
      </c>
      <c r="W72" s="1" t="str">
        <f ca="1">IFERROR(__xludf.DUMMYFUNCTION("""COMPUTED_VALUE"""),"ETA 21st October, awaiting DRO")</f>
        <v>ETA 21st October, awaiting DRO</v>
      </c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 t="str">
        <f ca="1">IFERROR(__xludf.DUMMYFUNCTION("""COMPUTED_VALUE"""),"DL62")</f>
        <v>DL62</v>
      </c>
      <c r="B78" s="1" t="str">
        <f ca="1">IFERROR(__xludf.DUMMYFUNCTION("""COMPUTED_VALUE"""),"Supra Health Care")</f>
        <v>Supra Health Care</v>
      </c>
      <c r="C78" s="1" t="str">
        <f ca="1">IFERROR(__xludf.DUMMYFUNCTION("""COMPUTED_VALUE"""),"Delivered")</f>
        <v>Delivered</v>
      </c>
      <c r="D78" s="3">
        <f ca="1">IFERROR(__xludf.DUMMYFUNCTION("""COMPUTED_VALUE"""),45210)</f>
        <v>45210</v>
      </c>
      <c r="E78" s="1" t="str">
        <f ca="1">IFERROR(__xludf.DUMMYFUNCTION("""COMPUTED_VALUE"""),"Barcelona")</f>
        <v>Barcelona</v>
      </c>
      <c r="F78" s="1" t="str">
        <f ca="1">IFERROR(__xludf.DUMMYFUNCTION("""COMPUTED_VALUE"""),"Johannesburg")</f>
        <v>Johannesburg</v>
      </c>
      <c r="G78" s="3">
        <f ca="1">IFERROR(__xludf.DUMMYFUNCTION("""COMPUTED_VALUE"""),45225)</f>
        <v>45225</v>
      </c>
      <c r="H78" s="3">
        <f ca="1">IFERROR(__xludf.DUMMYFUNCTION("""COMPUTED_VALUE"""),45220)</f>
        <v>45220</v>
      </c>
      <c r="I78" s="1"/>
      <c r="J78" s="1" t="str">
        <f ca="1">IFERROR(__xludf.DUMMYFUNCTION("""COMPUTED_VALUE"""),"Air")</f>
        <v>Air</v>
      </c>
      <c r="K78" s="1" t="str">
        <f ca="1">IFERROR(__xludf.DUMMYFUNCTION("""COMPUTED_VALUE"""),"EK765/14")</f>
        <v>EK765/14</v>
      </c>
      <c r="L78" s="1" t="str">
        <f ca="1">IFERROR(__xludf.DUMMYFUNCTION("""COMPUTED_VALUE"""),"Emirates")</f>
        <v>Emirates</v>
      </c>
      <c r="M78" s="1" t="str">
        <f ca="1">IFERROR(__xludf.DUMMYFUNCTION("""COMPUTED_VALUE"""),"176 - 85498162")</f>
        <v>176 - 85498162</v>
      </c>
      <c r="N78" s="1" t="str">
        <f ca="1">IFERROR(__xludf.DUMMYFUNCTION("""COMPUTED_VALUE"""),"176 - 85498162")</f>
        <v>176 - 85498162</v>
      </c>
      <c r="O78" s="1" t="str">
        <f ca="1">IFERROR(__xludf.DUMMYFUNCTION("""COMPUTED_VALUE"""),"Express Bill of Lading")</f>
        <v>Express Bill of Lading</v>
      </c>
      <c r="P78" s="1" t="str">
        <f ca="1">IFERROR(__xludf.DUMMYFUNCTION("""COMPUTED_VALUE"""),"N/A")</f>
        <v>N/A</v>
      </c>
      <c r="Q78" s="1" t="str">
        <f ca="1">IFERROR(__xludf.DUMMYFUNCTION("""COMPUTED_VALUE"""),"N/A")</f>
        <v>N/A</v>
      </c>
      <c r="R78" s="1" t="str">
        <f ca="1">IFERROR(__xludf.DUMMYFUNCTION("""COMPUTED_VALUE"""),"WORLD FLIGHT SERVICES")</f>
        <v>WORLD FLIGHT SERVICES</v>
      </c>
      <c r="S78" s="1" t="str">
        <f ca="1">IFERROR(__xludf.DUMMYFUNCTION("""COMPUTED_VALUE"""),"Greens Transport")</f>
        <v>Greens Transport</v>
      </c>
      <c r="T78" s="1" t="str">
        <f ca="1">IFERROR(__xludf.DUMMYFUNCTION("""COMPUTED_VALUE"""),"Green Hassan")</f>
        <v>Green Hassan</v>
      </c>
      <c r="U78" s="1" t="str">
        <f ca="1">IFERROR(__xludf.DUMMYFUNCTION("""COMPUTED_VALUE"""),"97512 DK")</f>
        <v>97512 DK</v>
      </c>
      <c r="V78" s="1" t="str">
        <f ca="1">IFERROR(__xludf.DUMMYFUNCTION("""COMPUTED_VALUE"""),"JV14RRGP")</f>
        <v>JV14RRGP</v>
      </c>
      <c r="W78" s="1" t="str">
        <f ca="1">IFERROR(__xludf.DUMMYFUNCTION("""COMPUTED_VALUE"""),"Client 's pallets were delivered back to our Warehouse")</f>
        <v>Client 's pallets were delivered back to our Warehouse</v>
      </c>
      <c r="X78" s="1"/>
      <c r="Y78" s="1"/>
      <c r="Z78" s="1"/>
    </row>
    <row r="79" spans="1:26" x14ac:dyDescent="0.3">
      <c r="A79" s="1" t="str">
        <f ca="1">IFERROR(__xludf.DUMMYFUNCTION("""COMPUTED_VALUE"""),"DL63")</f>
        <v>DL63</v>
      </c>
      <c r="B79" s="1" t="str">
        <f ca="1">IFERROR(__xludf.DUMMYFUNCTION("""COMPUTED_VALUE"""),"OMEGA SPICES AND FOODS IMPORT AND EXPORT")</f>
        <v>OMEGA SPICES AND FOODS IMPORT AND EXPORT</v>
      </c>
      <c r="C79" s="1" t="str">
        <f ca="1">IFERROR(__xludf.DUMMYFUNCTION("""COMPUTED_VALUE"""),"Delivered")</f>
        <v>Delivered</v>
      </c>
      <c r="D79" s="3">
        <f ca="1">IFERROR(__xludf.DUMMYFUNCTION("""COMPUTED_VALUE"""),45201)</f>
        <v>45201</v>
      </c>
      <c r="E79" s="1" t="str">
        <f ca="1">IFERROR(__xludf.DUMMYFUNCTION("""COMPUTED_VALUE"""),"Shantou Guangdong")</f>
        <v>Shantou Guangdong</v>
      </c>
      <c r="F79" s="1" t="str">
        <f ca="1">IFERROR(__xludf.DUMMYFUNCTION("""COMPUTED_VALUE"""),"Durban")</f>
        <v>Durban</v>
      </c>
      <c r="G79" s="3">
        <f ca="1">IFERROR(__xludf.DUMMYFUNCTION("""COMPUTED_VALUE"""),45259)</f>
        <v>45259</v>
      </c>
      <c r="H79" s="3">
        <f ca="1">IFERROR(__xludf.DUMMYFUNCTION("""COMPUTED_VALUE"""),45272)</f>
        <v>45272</v>
      </c>
      <c r="I79" s="1"/>
      <c r="J79" s="1" t="str">
        <f ca="1">IFERROR(__xludf.DUMMYFUNCTION("""COMPUTED_VALUE"""),"Sea")</f>
        <v>Sea</v>
      </c>
      <c r="K79" s="1" t="str">
        <f ca="1">IFERROR(__xludf.DUMMYFUNCTION("""COMPUTED_VALUE"""),"Ever Candid")</f>
        <v>Ever Candid</v>
      </c>
      <c r="L79" s="1" t="str">
        <f ca="1">IFERROR(__xludf.DUMMYFUNCTION("""COMPUTED_VALUE"""),"Kota lima 013w")</f>
        <v>Kota lima 013w</v>
      </c>
      <c r="M79" s="1" t="str">
        <f ca="1">IFERROR(__xludf.DUMMYFUNCTION("""COMPUTED_VALUE"""),"157300173360")</f>
        <v>157300173360</v>
      </c>
      <c r="N79" s="1" t="str">
        <f ca="1">IFERROR(__xludf.DUMMYFUNCTION("""COMPUTED_VALUE"""),"157300173360")</f>
        <v>157300173360</v>
      </c>
      <c r="O79" s="1" t="str">
        <f ca="1">IFERROR(__xludf.DUMMYFUNCTION("""COMPUTED_VALUE"""),"Express Bill of Lading")</f>
        <v>Express Bill of Lading</v>
      </c>
      <c r="P79" s="1" t="str">
        <f ca="1">IFERROR(__xludf.DUMMYFUNCTION("""COMPUTED_VALUE"""),"GLDU9561976")</f>
        <v>GLDU9561976</v>
      </c>
      <c r="Q79" s="1" t="str">
        <f ca="1">IFERROR(__xludf.DUMMYFUNCTION("""COMPUTED_VALUE"""),"EMCRVT0102")</f>
        <v>EMCRVT0102</v>
      </c>
      <c r="R79" s="1" t="str">
        <f ca="1">IFERROR(__xludf.DUMMYFUNCTION("""COMPUTED_VALUE"""),"Evergreen")</f>
        <v>Evergreen</v>
      </c>
      <c r="S79" s="1" t="str">
        <f ca="1">IFERROR(__xludf.DUMMYFUNCTION("""COMPUTED_VALUE"""),"SA Railway")</f>
        <v>SA Railway</v>
      </c>
      <c r="T79" s="1" t="str">
        <f ca="1">IFERROR(__xludf.DUMMYFUNCTION("""COMPUTED_VALUE"""),"Cartage Provided by Evergreen")</f>
        <v>Cartage Provided by Evergreen</v>
      </c>
      <c r="U79" s="1"/>
      <c r="V79" s="1"/>
      <c r="W79" s="1" t="str">
        <f ca="1">IFERROR(__xludf.DUMMYFUNCTION("""COMPUTED_VALUE"""),"The container is in Newcastle.... Delivered to the client on the 12/12/2023 @8:30 am")</f>
        <v>The container is in Newcastle.... Delivered to the client on the 12/12/2023 @8:30 am</v>
      </c>
      <c r="X79" s="1" t="str">
        <f ca="1">IFERROR(__xludf.DUMMYFUNCTION("""COMPUTED_VALUE"""),"08/12/23")</f>
        <v>08/12/23</v>
      </c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 t="str">
        <f ca="1">IFERROR(__xludf.DUMMYFUNCTION("""COMPUTED_VALUE"""),"DL64")</f>
        <v>DL64</v>
      </c>
      <c r="B81" s="1" t="str">
        <f ca="1">IFERROR(__xludf.DUMMYFUNCTION("""COMPUTED_VALUE"""),"KONE AND JC")</f>
        <v>KONE AND JC</v>
      </c>
      <c r="C81" s="1" t="str">
        <f ca="1">IFERROR(__xludf.DUMMYFUNCTION("""COMPUTED_VALUE"""),"Delivered")</f>
        <v>Delivered</v>
      </c>
      <c r="D81" s="3">
        <f ca="1">IFERROR(__xludf.DUMMYFUNCTION("""COMPUTED_VALUE"""),45216)</f>
        <v>45216</v>
      </c>
      <c r="E81" s="1" t="str">
        <f ca="1">IFERROR(__xludf.DUMMYFUNCTION("""COMPUTED_VALUE"""),"OR Tambo")</f>
        <v>OR Tambo</v>
      </c>
      <c r="F81" s="1" t="str">
        <f ca="1">IFERROR(__xludf.DUMMYFUNCTION("""COMPUTED_VALUE"""),"Luanda")</f>
        <v>Luanda</v>
      </c>
      <c r="G81" s="3">
        <f ca="1">IFERROR(__xludf.DUMMYFUNCTION("""COMPUTED_VALUE"""),45231)</f>
        <v>45231</v>
      </c>
      <c r="H81" s="3">
        <f ca="1">IFERROR(__xludf.DUMMYFUNCTION("""COMPUTED_VALUE"""),45231)</f>
        <v>45231</v>
      </c>
      <c r="I81" s="1" t="str">
        <f ca="1">IFERROR(__xludf.DUMMYFUNCTION("""COMPUTED_VALUE"""),"SACO CFR")</f>
        <v>SACO CFR</v>
      </c>
      <c r="J81" s="1" t="str">
        <f ca="1">IFERROR(__xludf.DUMMYFUNCTION("""COMPUTED_VALUE"""),"Air")</f>
        <v>Air</v>
      </c>
      <c r="K81" s="1" t="str">
        <f ca="1">IFERROR(__xludf.DUMMYFUNCTION("""COMPUTED_VALUE"""),"M6")</f>
        <v>M6</v>
      </c>
      <c r="L81" s="1" t="str">
        <f ca="1">IFERROR(__xludf.DUMMYFUNCTION("""COMPUTED_VALUE"""),"Airlink")</f>
        <v>Airlink</v>
      </c>
      <c r="M81" s="1" t="str">
        <f ca="1">IFERROR(__xludf.DUMMYFUNCTION("""COMPUTED_VALUE"""),"749-30784611")</f>
        <v>749-30784611</v>
      </c>
      <c r="N81" s="1" t="str">
        <f ca="1">IFERROR(__xludf.DUMMYFUNCTION("""COMPUTED_VALUE"""),"749-30784611")</f>
        <v>749-30784611</v>
      </c>
      <c r="O81" s="1" t="str">
        <f ca="1">IFERROR(__xludf.DUMMYFUNCTION("""COMPUTED_VALUE"""),"Express Bill of Lading")</f>
        <v>Express Bill of Lading</v>
      </c>
      <c r="P81" s="1" t="str">
        <f ca="1">IFERROR(__xludf.DUMMYFUNCTION("""COMPUTED_VALUE"""),"749-30784611")</f>
        <v>749-30784611</v>
      </c>
      <c r="Q81" s="1" t="str">
        <f ca="1">IFERROR(__xludf.DUMMYFUNCTION("""COMPUTED_VALUE"""),"4Z044")</f>
        <v>4Z044</v>
      </c>
      <c r="R81" s="1" t="str">
        <f ca="1">IFERROR(__xludf.DUMMYFUNCTION("""COMPUTED_VALUE"""),"CFR")</f>
        <v>CFR</v>
      </c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 t="str">
        <f ca="1">IFERROR(__xludf.DUMMYFUNCTION("""COMPUTED_VALUE"""),"DL65")</f>
        <v>DL65</v>
      </c>
      <c r="B82" s="1" t="str">
        <f ca="1">IFERROR(__xludf.DUMMYFUNCTION("""COMPUTED_VALUE"""),"KONE AND JC")</f>
        <v>KONE AND JC</v>
      </c>
      <c r="C82" s="1" t="str">
        <f ca="1">IFERROR(__xludf.DUMMYFUNCTION("""COMPUTED_VALUE"""),"Delivered")</f>
        <v>Delivered</v>
      </c>
      <c r="D82" s="3">
        <f ca="1">IFERROR(__xludf.DUMMYFUNCTION("""COMPUTED_VALUE"""),45216)</f>
        <v>45216</v>
      </c>
      <c r="E82" s="1" t="str">
        <f ca="1">IFERROR(__xludf.DUMMYFUNCTION("""COMPUTED_VALUE"""),"JHB")</f>
        <v>JHB</v>
      </c>
      <c r="F82" s="1" t="str">
        <f ca="1">IFERROR(__xludf.DUMMYFUNCTION("""COMPUTED_VALUE"""),"Luanda")</f>
        <v>Luanda</v>
      </c>
      <c r="G82" s="3">
        <f ca="1">IFERROR(__xludf.DUMMYFUNCTION("""COMPUTED_VALUE"""),45232)</f>
        <v>45232</v>
      </c>
      <c r="H82" s="3">
        <f ca="1">IFERROR(__xludf.DUMMYFUNCTION("""COMPUTED_VALUE"""),45232)</f>
        <v>45232</v>
      </c>
      <c r="I82" s="1" t="str">
        <f ca="1">IFERROR(__xludf.DUMMYFUNCTION("""COMPUTED_VALUE"""),"SACO CFR")</f>
        <v>SACO CFR</v>
      </c>
      <c r="J82" s="1" t="str">
        <f ca="1">IFERROR(__xludf.DUMMYFUNCTION("""COMPUTED_VALUE"""),"Air")</f>
        <v>Air</v>
      </c>
      <c r="K82" s="1" t="str">
        <f ca="1">IFERROR(__xludf.DUMMYFUNCTION("""COMPUTED_VALUE"""),"Airlink")</f>
        <v>Airlink</v>
      </c>
      <c r="L82" s="1"/>
      <c r="M82" s="1"/>
      <c r="N82" s="1"/>
      <c r="O82" s="1" t="str">
        <f ca="1">IFERROR(__xludf.DUMMYFUNCTION("""COMPUTED_VALUE"""),"Express Bill of Lading")</f>
        <v>Express Bill of Lading</v>
      </c>
      <c r="P82" s="1"/>
      <c r="Q82" s="1"/>
      <c r="R82" s="1"/>
      <c r="S82" s="1" t="str">
        <f ca="1">IFERROR(__xludf.DUMMYFUNCTION("""COMPUTED_VALUE"""),"Greens Transport")</f>
        <v>Greens Transport</v>
      </c>
      <c r="T82" s="1"/>
      <c r="U82" s="1"/>
      <c r="V82" s="1"/>
      <c r="W82" s="1"/>
      <c r="X82" s="1"/>
      <c r="Y82" s="1"/>
      <c r="Z82" s="1"/>
    </row>
    <row r="83" spans="1:26" x14ac:dyDescent="0.3">
      <c r="A83" s="1" t="str">
        <f ca="1">IFERROR(__xludf.DUMMYFUNCTION("""COMPUTED_VALUE"""),"DL65")</f>
        <v>DL65</v>
      </c>
      <c r="B83" s="1" t="str">
        <f ca="1">IFERROR(__xludf.DUMMYFUNCTION("""COMPUTED_VALUE"""),"KONE AND JC")</f>
        <v>KONE AND JC</v>
      </c>
      <c r="C83" s="1" t="str">
        <f ca="1">IFERROR(__xludf.DUMMYFUNCTION("""COMPUTED_VALUE"""),"Delivered")</f>
        <v>Delivered</v>
      </c>
      <c r="D83" s="3">
        <f ca="1">IFERROR(__xludf.DUMMYFUNCTION("""COMPUTED_VALUE"""),45217)</f>
        <v>45217</v>
      </c>
      <c r="E83" s="1" t="str">
        <f ca="1">IFERROR(__xludf.DUMMYFUNCTION("""COMPUTED_VALUE"""),"OR TAMBO")</f>
        <v>OR TAMBO</v>
      </c>
      <c r="F83" s="1" t="str">
        <f ca="1">IFERROR(__xludf.DUMMYFUNCTION("""COMPUTED_VALUE"""),"LUANDA")</f>
        <v>LUANDA</v>
      </c>
      <c r="G83" s="3">
        <f ca="1">IFERROR(__xludf.DUMMYFUNCTION("""COMPUTED_VALUE"""),45232)</f>
        <v>45232</v>
      </c>
      <c r="H83" s="3">
        <f ca="1">IFERROR(__xludf.DUMMYFUNCTION("""COMPUTED_VALUE"""),45232)</f>
        <v>45232</v>
      </c>
      <c r="I83" s="1" t="str">
        <f ca="1">IFERROR(__xludf.DUMMYFUNCTION("""COMPUTED_VALUE"""),"SACO CFR")</f>
        <v>SACO CFR</v>
      </c>
      <c r="J83" s="1" t="str">
        <f ca="1">IFERROR(__xludf.DUMMYFUNCTION("""COMPUTED_VALUE"""),"Air")</f>
        <v>Air</v>
      </c>
      <c r="K83" s="1"/>
      <c r="L83" s="1" t="str">
        <f ca="1">IFERROR(__xludf.DUMMYFUNCTION("""COMPUTED_VALUE"""),"AIRLINK")</f>
        <v>AIRLINK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 t="str">
        <f ca="1">IFERROR(__xludf.DUMMYFUNCTION("""COMPUTED_VALUE"""),"DL71")</f>
        <v>DL71</v>
      </c>
      <c r="B84" s="1" t="str">
        <f ca="1">IFERROR(__xludf.DUMMYFUNCTION("""COMPUTED_VALUE"""),"Henry")</f>
        <v>Henry</v>
      </c>
      <c r="C84" s="1" t="str">
        <f ca="1">IFERROR(__xludf.DUMMYFUNCTION("""COMPUTED_VALUE"""),"Delivered")</f>
        <v>Delivered</v>
      </c>
      <c r="D84" s="3">
        <f ca="1">IFERROR(__xludf.DUMMYFUNCTION("""COMPUTED_VALUE"""),45221)</f>
        <v>45221</v>
      </c>
      <c r="E84" s="1" t="str">
        <f ca="1">IFERROR(__xludf.DUMMYFUNCTION("""COMPUTED_VALUE"""),"Hong Kong")</f>
        <v>Hong Kong</v>
      </c>
      <c r="F84" s="1" t="str">
        <f ca="1">IFERROR(__xludf.DUMMYFUNCTION("""COMPUTED_VALUE"""),"OR Tambo")</f>
        <v>OR Tambo</v>
      </c>
      <c r="G84" s="3">
        <f ca="1">IFERROR(__xludf.DUMMYFUNCTION("""COMPUTED_VALUE"""),45223)</f>
        <v>45223</v>
      </c>
      <c r="H84" s="3">
        <f ca="1">IFERROR(__xludf.DUMMYFUNCTION("""COMPUTED_VALUE"""),45254)</f>
        <v>45254</v>
      </c>
      <c r="I84" s="1" t="str">
        <f ca="1">IFERROR(__xludf.DUMMYFUNCTION("""COMPUTED_VALUE"""),"Shenzhen Nimbus")</f>
        <v>Shenzhen Nimbus</v>
      </c>
      <c r="J84" s="1" t="str">
        <f ca="1">IFERROR(__xludf.DUMMYFUNCTION("""COMPUTED_VALUE"""),"Air")</f>
        <v>Air</v>
      </c>
      <c r="K84" s="1" t="str">
        <f ca="1">IFERROR(__xludf.DUMMYFUNCTION("""COMPUTED_VALUE"""),"Cathay Pacific Airways")</f>
        <v>Cathay Pacific Airways</v>
      </c>
      <c r="L84" s="1" t="str">
        <f ca="1">IFERROR(__xludf.DUMMYFUNCTION("""COMPUTED_VALUE"""),"Swiss Port")</f>
        <v>Swiss Port</v>
      </c>
      <c r="M84" s="1" t="str">
        <f ca="1">IFERROR(__xludf.DUMMYFUNCTION("""COMPUTED_VALUE"""),"160-7338 9643")</f>
        <v>160-7338 9643</v>
      </c>
      <c r="N84" s="1" t="str">
        <f ca="1">IFERROR(__xludf.DUMMYFUNCTION("""COMPUTED_VALUE"""),"160-7338 9643")</f>
        <v>160-7338 9643</v>
      </c>
      <c r="O84" s="1" t="str">
        <f ca="1">IFERROR(__xludf.DUMMYFUNCTION("""COMPUTED_VALUE"""),"Express Bill of Lading")</f>
        <v>Express Bill of Lading</v>
      </c>
      <c r="P84" s="1" t="str">
        <f ca="1">IFERROR(__xludf.DUMMYFUNCTION("""COMPUTED_VALUE"""),"CX749")</f>
        <v>CX749</v>
      </c>
      <c r="Q84" s="1"/>
      <c r="R84" s="1" t="str">
        <f ca="1">IFERROR(__xludf.DUMMYFUNCTION("""COMPUTED_VALUE"""),"Swissport")</f>
        <v>Swissport</v>
      </c>
      <c r="S84" s="1" t="str">
        <f ca="1">IFERROR(__xludf.DUMMYFUNCTION("""COMPUTED_VALUE"""),"Greens Transport")</f>
        <v>Greens Transport</v>
      </c>
      <c r="T84" s="1" t="str">
        <f ca="1">IFERROR(__xludf.DUMMYFUNCTION("""COMPUTED_VALUE"""),"GREEN HASSAN JARA")</f>
        <v>GREEN HASSAN JARA</v>
      </c>
      <c r="U84" s="1" t="str">
        <f ca="1">IFERROR(__xludf.DUMMYFUNCTION("""COMPUTED_VALUE"""),"97512-DK")</f>
        <v>97512-DK</v>
      </c>
      <c r="V84" s="1" t="str">
        <f ca="1">IFERROR(__xludf.DUMMYFUNCTION("""COMPUTED_VALUE"""),"JV14RRGP")</f>
        <v>JV14RRGP</v>
      </c>
      <c r="W84" s="1" t="str">
        <f ca="1">IFERROR(__xludf.DUMMYFUNCTION("""COMPUTED_VALUE"""),"PASSPORT #AE512541")</f>
        <v>PASSPORT #AE512541</v>
      </c>
      <c r="X84" s="1" t="str">
        <f ca="1">IFERROR(__xludf.DUMMYFUNCTION("""COMPUTED_VALUE"""),"The client collected  from our warehouse")</f>
        <v>The client collected  from our warehouse</v>
      </c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 t="str">
        <f ca="1">IFERROR(__xludf.DUMMYFUNCTION("""COMPUTED_VALUE"""),"DL74")</f>
        <v>DL74</v>
      </c>
      <c r="B86" s="1" t="str">
        <f ca="1">IFERROR(__xludf.DUMMYFUNCTION("""COMPUTED_VALUE"""),"Shaheen Ally")</f>
        <v>Shaheen Ally</v>
      </c>
      <c r="C86" s="1" t="str">
        <f ca="1">IFERROR(__xludf.DUMMYFUNCTION("""COMPUTED_VALUE"""),"Delivered")</f>
        <v>Delivered</v>
      </c>
      <c r="D86" s="3">
        <f ca="1">IFERROR(__xludf.DUMMYFUNCTION("""COMPUTED_VALUE"""),45237)</f>
        <v>45237</v>
      </c>
      <c r="E86" s="1" t="str">
        <f ca="1">IFERROR(__xludf.DUMMYFUNCTION("""COMPUTED_VALUE"""),"TURKEY")</f>
        <v>TURKEY</v>
      </c>
      <c r="F86" s="1" t="str">
        <f ca="1">IFERROR(__xludf.DUMMYFUNCTION("""COMPUTED_VALUE"""),"ORTAMBO")</f>
        <v>ORTAMBO</v>
      </c>
      <c r="G86" s="3">
        <f ca="1">IFERROR(__xludf.DUMMYFUNCTION("""COMPUTED_VALUE"""),45252)</f>
        <v>45252</v>
      </c>
      <c r="H86" s="3">
        <f ca="1">IFERROR(__xludf.DUMMYFUNCTION("""COMPUTED_VALUE"""),45252)</f>
        <v>45252</v>
      </c>
      <c r="I86" s="1" t="str">
        <f ca="1">IFERROR(__xludf.DUMMYFUNCTION("""COMPUTED_VALUE"""),"Fedex")</f>
        <v>Fedex</v>
      </c>
      <c r="J86" s="1" t="str">
        <f ca="1">IFERROR(__xludf.DUMMYFUNCTION("""COMPUTED_VALUE"""),"Air")</f>
        <v>Air</v>
      </c>
      <c r="K86" s="1" t="str">
        <f ca="1">IFERROR(__xludf.DUMMYFUNCTION("""COMPUTED_VALUE"""),"FEDEX")</f>
        <v>FEDEX</v>
      </c>
      <c r="L86" s="1"/>
      <c r="M86" s="1"/>
      <c r="N86" s="1"/>
      <c r="O86" s="1" t="str">
        <f ca="1">IFERROR(__xludf.DUMMYFUNCTION("""COMPUTED_VALUE"""),"Express Bill of Lading")</f>
        <v>Express Bill of Lading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 t="str">
        <f ca="1">IFERROR(__xludf.DUMMYFUNCTION("""COMPUTED_VALUE"""),"DL75")</f>
        <v>DL75</v>
      </c>
      <c r="B87" s="1" t="str">
        <f ca="1">IFERROR(__xludf.DUMMYFUNCTION("""COMPUTED_VALUE"""),"Geleza Tech")</f>
        <v>Geleza Tech</v>
      </c>
      <c r="C87" s="1" t="str">
        <f ca="1">IFERROR(__xludf.DUMMYFUNCTION("""COMPUTED_VALUE"""),"Delivered")</f>
        <v>Delivered</v>
      </c>
      <c r="D87" s="3">
        <f ca="1">IFERROR(__xludf.DUMMYFUNCTION("""COMPUTED_VALUE"""),45237)</f>
        <v>45237</v>
      </c>
      <c r="E87" s="1" t="str">
        <f ca="1">IFERROR(__xludf.DUMMYFUNCTION("""COMPUTED_VALUE"""),"Hong Kong")</f>
        <v>Hong Kong</v>
      </c>
      <c r="F87" s="1" t="str">
        <f ca="1">IFERROR(__xludf.DUMMYFUNCTION("""COMPUTED_VALUE"""),"Johannesburg")</f>
        <v>Johannesburg</v>
      </c>
      <c r="G87" s="3">
        <f ca="1">IFERROR(__xludf.DUMMYFUNCTION("""COMPUTED_VALUE"""),45237)</f>
        <v>45237</v>
      </c>
      <c r="H87" s="3">
        <f ca="1">IFERROR(__xludf.DUMMYFUNCTION("""COMPUTED_VALUE"""),45244)</f>
        <v>45244</v>
      </c>
      <c r="I87" s="1" t="str">
        <f ca="1">IFERROR(__xludf.DUMMYFUNCTION("""COMPUTED_VALUE"""),"OBD Logistics")</f>
        <v>OBD Logistics</v>
      </c>
      <c r="J87" s="1" t="str">
        <f ca="1">IFERROR(__xludf.DUMMYFUNCTION("""COMPUTED_VALUE"""),"Air")</f>
        <v>Air</v>
      </c>
      <c r="K87" s="1" t="str">
        <f ca="1">IFERROR(__xludf.DUMMYFUNCTION("""COMPUTED_VALUE"""),"EK 9239/09")</f>
        <v>EK 9239/09</v>
      </c>
      <c r="L87" s="1" t="str">
        <f ca="1">IFERROR(__xludf.DUMMYFUNCTION("""COMPUTED_VALUE"""),"Emirates")</f>
        <v>Emirates</v>
      </c>
      <c r="M87" s="1" t="str">
        <f ca="1">IFERROR(__xludf.DUMMYFUNCTION("""COMPUTED_VALUE"""),"17680954532")</f>
        <v>17680954532</v>
      </c>
      <c r="N87" s="1" t="str">
        <f ca="1">IFERROR(__xludf.DUMMYFUNCTION("""COMPUTED_VALUE"""),"17680954532")</f>
        <v>17680954532</v>
      </c>
      <c r="O87" s="1" t="str">
        <f ca="1">IFERROR(__xludf.DUMMYFUNCTION("""COMPUTED_VALUE"""),"Express Bill of Lading")</f>
        <v>Express Bill of Lading</v>
      </c>
      <c r="P87" s="1" t="str">
        <f ca="1">IFERROR(__xludf.DUMMYFUNCTION("""COMPUTED_VALUE"""),"17680954532")</f>
        <v>17680954532</v>
      </c>
      <c r="Q87" s="1"/>
      <c r="R87" s="1" t="str">
        <f ca="1">IFERROR(__xludf.DUMMYFUNCTION("""COMPUTED_VALUE"""),"WORLD FLIGHT SERVICES")</f>
        <v>WORLD FLIGHT SERVICES</v>
      </c>
      <c r="S87" s="1" t="str">
        <f ca="1">IFERROR(__xludf.DUMMYFUNCTION("""COMPUTED_VALUE"""),"Asia Direct")</f>
        <v>Asia Direct</v>
      </c>
      <c r="T87" s="1" t="str">
        <f ca="1">IFERROR(__xludf.DUMMYFUNCTION("""COMPUTED_VALUE"""),"Amukelani")</f>
        <v>Amukelani</v>
      </c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 t="str">
        <f ca="1">IFERROR(__xludf.DUMMYFUNCTION("""COMPUTED_VALUE"""),"DL70")</f>
        <v>DL70</v>
      </c>
      <c r="B90" s="1" t="str">
        <f ca="1">IFERROR(__xludf.DUMMYFUNCTION("""COMPUTED_VALUE"""),"Brent Badenhorst")</f>
        <v>Brent Badenhorst</v>
      </c>
      <c r="C90" s="1" t="str">
        <f ca="1">IFERROR(__xludf.DUMMYFUNCTION("""COMPUTED_VALUE"""),"Delivered")</f>
        <v>Delivered</v>
      </c>
      <c r="D90" s="3">
        <f ca="1">IFERROR(__xludf.DUMMYFUNCTION("""COMPUTED_VALUE"""),45245)</f>
        <v>45245</v>
      </c>
      <c r="E90" s="1" t="str">
        <f ca="1">IFERROR(__xludf.DUMMYFUNCTION("""COMPUTED_VALUE"""),"SHEKOU")</f>
        <v>SHEKOU</v>
      </c>
      <c r="F90" s="1" t="str">
        <f ca="1">IFERROR(__xludf.DUMMYFUNCTION("""COMPUTED_VALUE"""),"Durban")</f>
        <v>Durban</v>
      </c>
      <c r="G90" s="3">
        <f ca="1">IFERROR(__xludf.DUMMYFUNCTION("""COMPUTED_VALUE"""),45279)</f>
        <v>45279</v>
      </c>
      <c r="H90" s="3">
        <f ca="1">IFERROR(__xludf.DUMMYFUNCTION("""COMPUTED_VALUE"""),45278)</f>
        <v>45278</v>
      </c>
      <c r="I90" s="1" t="str">
        <f ca="1">IFERROR(__xludf.DUMMYFUNCTION("""COMPUTED_VALUE"""),"Shenzhen Nimbus")</f>
        <v>Shenzhen Nimbus</v>
      </c>
      <c r="J90" s="1" t="str">
        <f ca="1">IFERROR(__xludf.DUMMYFUNCTION("""COMPUTED_VALUE"""),"Sea")</f>
        <v>Sea</v>
      </c>
      <c r="K90" s="1" t="str">
        <f ca="1">IFERROR(__xludf.DUMMYFUNCTION("""COMPUTED_VALUE"""),"SC")</f>
        <v>SC</v>
      </c>
      <c r="L90" s="1" t="str">
        <f ca="1">IFERROR(__xludf.DUMMYFUNCTION("""COMPUTED_VALUE"""),"SAN CHRISTOBAL 344S")</f>
        <v>SAN CHRISTOBAL 344S</v>
      </c>
      <c r="M90" s="1" t="str">
        <f ca="1">IFERROR(__xludf.DUMMYFUNCTION("""COMPUTED_VALUE"""),"232251733")</f>
        <v>232251733</v>
      </c>
      <c r="N90" s="1" t="str">
        <f ca="1">IFERROR(__xludf.DUMMYFUNCTION("""COMPUTED_VALUE"""),"SJHB23102614")</f>
        <v>SJHB23102614</v>
      </c>
      <c r="O90" s="1" t="str">
        <f ca="1">IFERROR(__xludf.DUMMYFUNCTION("""COMPUTED_VALUE"""),"Express Bill of Lading")</f>
        <v>Express Bill of Lading</v>
      </c>
      <c r="P90" s="1" t="str">
        <f ca="1">IFERROR(__xludf.DUMMYFUNCTION("""COMPUTED_VALUE"""),"SUDU6103788")</f>
        <v>SUDU6103788</v>
      </c>
      <c r="Q90" s="1" t="str">
        <f ca="1">IFERROR(__xludf.DUMMYFUNCTION("""COMPUTED_VALUE"""),"CN5491532")</f>
        <v>CN5491532</v>
      </c>
      <c r="R90" s="1" t="str">
        <f ca="1">IFERROR(__xludf.DUMMYFUNCTION("""COMPUTED_VALUE"""),"Afristar")</f>
        <v>Afristar</v>
      </c>
      <c r="S90" s="1" t="str">
        <f ca="1">IFERROR(__xludf.DUMMYFUNCTION("""COMPUTED_VALUE"""),"Greens Transport")</f>
        <v>Greens Transport</v>
      </c>
      <c r="T90" s="1" t="str">
        <f ca="1">IFERROR(__xludf.DUMMYFUNCTION("""COMPUTED_VALUE"""),"Hassan Green Jara")</f>
        <v>Hassan Green Jara</v>
      </c>
      <c r="U90" s="1" t="str">
        <f ca="1">IFERROR(__xludf.DUMMYFUNCTION("""COMPUTED_VALUE"""),"97512 DK")</f>
        <v>97512 DK</v>
      </c>
      <c r="V90" s="1" t="str">
        <f ca="1">IFERROR(__xludf.DUMMYFUNCTION("""COMPUTED_VALUE"""),"Jv 14RR GP")</f>
        <v>Jv 14RR GP</v>
      </c>
      <c r="W90" s="1" t="str">
        <f ca="1">IFERROR(__xludf.DUMMYFUNCTION("""COMPUTED_VALUE"""),"Jhb to Durban Via Courier Guy")</f>
        <v>Jhb to Durban Via Courier Guy</v>
      </c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 t="str">
        <f ca="1">IFERROR(__xludf.DUMMYFUNCTION("""COMPUTED_VALUE"""),"DL66")</f>
        <v>DL66</v>
      </c>
      <c r="B93" s="1" t="str">
        <f ca="1">IFERROR(__xludf.DUMMYFUNCTION("""COMPUTED_VALUE"""),"Top tech Catering")</f>
        <v>Top tech Catering</v>
      </c>
      <c r="C93" s="1" t="str">
        <f ca="1">IFERROR(__xludf.DUMMYFUNCTION("""COMPUTED_VALUE"""),"Delivered")</f>
        <v>Delivered</v>
      </c>
      <c r="D93" s="3">
        <f ca="1">IFERROR(__xludf.DUMMYFUNCTION("""COMPUTED_VALUE"""),45222)</f>
        <v>45222</v>
      </c>
      <c r="E93" s="1" t="str">
        <f ca="1">IFERROR(__xludf.DUMMYFUNCTION("""COMPUTED_VALUE"""),"NANSHA")</f>
        <v>NANSHA</v>
      </c>
      <c r="F93" s="1" t="str">
        <f ca="1">IFERROR(__xludf.DUMMYFUNCTION("""COMPUTED_VALUE"""),"Durban")</f>
        <v>Durban</v>
      </c>
      <c r="G93" s="3">
        <f ca="1">IFERROR(__xludf.DUMMYFUNCTION("""COMPUTED_VALUE"""),45284)</f>
        <v>45284</v>
      </c>
      <c r="H93" s="3">
        <f ca="1">IFERROR(__xludf.DUMMYFUNCTION("""COMPUTED_VALUE"""),45284)</f>
        <v>45284</v>
      </c>
      <c r="I93" s="1" t="str">
        <f ca="1">IFERROR(__xludf.DUMMYFUNCTION("""COMPUTED_VALUE"""),"Shenzhen Nimbus")</f>
        <v>Shenzhen Nimbus</v>
      </c>
      <c r="J93" s="1" t="str">
        <f ca="1">IFERROR(__xludf.DUMMYFUNCTION("""COMPUTED_VALUE"""),"Sea")</f>
        <v>Sea</v>
      </c>
      <c r="K93" s="1" t="str">
        <f ca="1">IFERROR(__xludf.DUMMYFUNCTION("""COMPUTED_VALUE"""),"MEDITERRANEAN SHIPPING COMPANY S.A.")</f>
        <v>MEDITERRANEAN SHIPPING COMPANY S.A.</v>
      </c>
      <c r="L93" s="1" t="str">
        <f ca="1">IFERROR(__xludf.DUMMYFUNCTION("""COMPUTED_VALUE"""),"MSC ABIDJAN ZF343A")</f>
        <v>MSC ABIDJAN ZF343A</v>
      </c>
      <c r="M93" s="1" t="str">
        <f ca="1">IFERROR(__xludf.DUMMYFUNCTION("""COMPUTED_VALUE"""),"MEDUQJ278892")</f>
        <v>MEDUQJ278892</v>
      </c>
      <c r="N93" s="1" t="str">
        <f ca="1">IFERROR(__xludf.DUMMYFUNCTION("""COMPUTED_VALUE"""),"NBS2310060")</f>
        <v>NBS2310060</v>
      </c>
      <c r="O93" s="1" t="str">
        <f ca="1">IFERROR(__xludf.DUMMYFUNCTION("""COMPUTED_VALUE"""),"Express Bill of Lading")</f>
        <v>Express Bill of Lading</v>
      </c>
      <c r="P93" s="1" t="str">
        <f ca="1">IFERROR(__xludf.DUMMYFUNCTION("""COMPUTED_VALUE"""),"MEDU7350446")</f>
        <v>MEDU7350446</v>
      </c>
      <c r="Q93" s="1" t="str">
        <f ca="1">IFERROR(__xludf.DUMMYFUNCTION("""COMPUTED_VALUE"""),"FJ18729468")</f>
        <v>FJ18729468</v>
      </c>
      <c r="R93" s="1" t="str">
        <f ca="1">IFERROR(__xludf.DUMMYFUNCTION("""COMPUTED_VALUE"""),"MSC")</f>
        <v>MSC</v>
      </c>
      <c r="S93" s="1" t="str">
        <f ca="1">IFERROR(__xludf.DUMMYFUNCTION("""COMPUTED_VALUE"""),"Alpha Shipping")</f>
        <v>Alpha Shipping</v>
      </c>
      <c r="T93" s="1" t="str">
        <f ca="1">IFERROR(__xludf.DUMMYFUNCTION("""COMPUTED_VALUE"""),"Navis to Provide")</f>
        <v>Navis to Provide</v>
      </c>
      <c r="U93" s="1"/>
      <c r="V93" s="1" t="str">
        <f ca="1">IFERROR(__xludf.DUMMYFUNCTION("""COMPUTED_VALUE"""),"N/A")</f>
        <v>N/A</v>
      </c>
      <c r="W93" s="1" t="str">
        <f ca="1">IFERROR(__xludf.DUMMYFUNCTION("""COMPUTED_VALUE"""),"The container is discharging")</f>
        <v>The container is discharging</v>
      </c>
      <c r="X93" s="1" t="str">
        <f ca="1">IFERROR(__xludf.DUMMYFUNCTION("""COMPUTED_VALUE"""),"18/12/2023")</f>
        <v>18/12/2023</v>
      </c>
      <c r="Y93" s="1"/>
      <c r="Z93" s="1"/>
    </row>
    <row r="94" spans="1:26" x14ac:dyDescent="0.3">
      <c r="A94" s="1" t="str">
        <f ca="1">IFERROR(__xludf.DUMMYFUNCTION("""COMPUTED_VALUE"""),"DL78")</f>
        <v>DL78</v>
      </c>
      <c r="B94" s="1" t="str">
        <f ca="1">IFERROR(__xludf.DUMMYFUNCTION("""COMPUTED_VALUE"""),"Mohammad Fouzan")</f>
        <v>Mohammad Fouzan</v>
      </c>
      <c r="C94" s="1" t="str">
        <f ca="1">IFERROR(__xludf.DUMMYFUNCTION("""COMPUTED_VALUE"""),"Delivered")</f>
        <v>Delivered</v>
      </c>
      <c r="D94" s="3">
        <f ca="1">IFERROR(__xludf.DUMMYFUNCTION("""COMPUTED_VALUE"""),45198)</f>
        <v>45198</v>
      </c>
      <c r="E94" s="1" t="str">
        <f ca="1">IFERROR(__xludf.DUMMYFUNCTION("""COMPUTED_VALUE"""),"SHEKOU")</f>
        <v>SHEKOU</v>
      </c>
      <c r="F94" s="1" t="str">
        <f ca="1">IFERROR(__xludf.DUMMYFUNCTION("""COMPUTED_VALUE"""),"DURBAN")</f>
        <v>DURBAN</v>
      </c>
      <c r="G94" s="3">
        <f ca="1">IFERROR(__xludf.DUMMYFUNCTION("""COMPUTED_VALUE"""),45229)</f>
        <v>45229</v>
      </c>
      <c r="H94" s="3">
        <f ca="1">IFERROR(__xludf.DUMMYFUNCTION("""COMPUTED_VALUE"""),45239)</f>
        <v>45239</v>
      </c>
      <c r="I94" s="1" t="str">
        <f ca="1">IFERROR(__xludf.DUMMYFUNCTION("""COMPUTED_VALUE"""),"Shenzhen Nimbus")</f>
        <v>Shenzhen Nimbus</v>
      </c>
      <c r="J94" s="1" t="str">
        <f ca="1">IFERROR(__xludf.DUMMYFUNCTION("""COMPUTED_VALUE"""),"Sea")</f>
        <v>Sea</v>
      </c>
      <c r="K94" s="1" t="str">
        <f ca="1">IFERROR(__xludf.DUMMYFUNCTION("""COMPUTED_VALUE"""),"ONE LINER")</f>
        <v>ONE LINER</v>
      </c>
      <c r="L94" s="1" t="str">
        <f ca="1">IFERROR(__xludf.DUMMYFUNCTION("""COMPUTED_VALUE"""),"COSCO AQABA")</f>
        <v>COSCO AQABA</v>
      </c>
      <c r="M94" s="1" t="str">
        <f ca="1">IFERROR(__xludf.DUMMYFUNCTION("""COMPUTED_VALUE"""),"ONEYHKGDA2046300")</f>
        <v>ONEYHKGDA2046300</v>
      </c>
      <c r="N94" s="1" t="str">
        <f ca="1">IFERROR(__xludf.DUMMYFUNCTION("""COMPUTED_VALUE"""),"STSDBN23091805")</f>
        <v>STSDBN23091805</v>
      </c>
      <c r="O94" s="1" t="str">
        <f ca="1">IFERROR(__xludf.DUMMYFUNCTION("""COMPUTED_VALUE"""),"Express Bill of Lading")</f>
        <v>Express Bill of Lading</v>
      </c>
      <c r="P94" s="1" t="str">
        <f ca="1">IFERROR(__xludf.DUMMYFUNCTION("""COMPUTED_VALUE"""),"TTNU8316483")</f>
        <v>TTNU8316483</v>
      </c>
      <c r="Q94" s="1" t="str">
        <f ca="1">IFERROR(__xludf.DUMMYFUNCTION("""COMPUTED_VALUE"""),"CNBR60802")</f>
        <v>CNBR60802</v>
      </c>
      <c r="R94" s="1" t="str">
        <f ca="1">IFERROR(__xludf.DUMMYFUNCTION("""COMPUTED_VALUE"""),"Afristar")</f>
        <v>Afristar</v>
      </c>
      <c r="S94" s="1" t="str">
        <f ca="1">IFERROR(__xludf.DUMMYFUNCTION("""COMPUTED_VALUE"""),"Greens Transport")</f>
        <v>Greens Transport</v>
      </c>
      <c r="T94" s="1" t="str">
        <f ca="1">IFERROR(__xludf.DUMMYFUNCTION("""COMPUTED_VALUE"""),"GREEN JARA HASSAN")</f>
        <v>GREEN JARA HASSAN</v>
      </c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 t="str">
        <f ca="1">IFERROR(__xludf.DUMMYFUNCTION("""COMPUTED_VALUE"""),"DL69")</f>
        <v>DL69</v>
      </c>
      <c r="B98" s="1" t="str">
        <f ca="1">IFERROR(__xludf.DUMMYFUNCTION("""COMPUTED_VALUE"""),"Polyvia")</f>
        <v>Polyvia</v>
      </c>
      <c r="C98" s="1" t="str">
        <f ca="1">IFERROR(__xludf.DUMMYFUNCTION("""COMPUTED_VALUE"""),"Delivered")</f>
        <v>Delivered</v>
      </c>
      <c r="D98" s="3">
        <f ca="1">IFERROR(__xludf.DUMMYFUNCTION("""COMPUTED_VALUE"""),45243)</f>
        <v>45243</v>
      </c>
      <c r="E98" s="1" t="str">
        <f ca="1">IFERROR(__xludf.DUMMYFUNCTION("""COMPUTED_VALUE"""),"Hong Kong")</f>
        <v>Hong Kong</v>
      </c>
      <c r="F98" s="1" t="str">
        <f ca="1">IFERROR(__xludf.DUMMYFUNCTION("""COMPUTED_VALUE"""),"OR Tambo")</f>
        <v>OR Tambo</v>
      </c>
      <c r="G98" s="3">
        <f ca="1">IFERROR(__xludf.DUMMYFUNCTION("""COMPUTED_VALUE"""),45258)</f>
        <v>45258</v>
      </c>
      <c r="H98" s="3">
        <f ca="1">IFERROR(__xludf.DUMMYFUNCTION("""COMPUTED_VALUE"""),45258)</f>
        <v>45258</v>
      </c>
      <c r="I98" s="1" t="str">
        <f ca="1">IFERROR(__xludf.DUMMYFUNCTION("""COMPUTED_VALUE"""),"OBD Logistics")</f>
        <v>OBD Logistics</v>
      </c>
      <c r="J98" s="1" t="str">
        <f ca="1">IFERROR(__xludf.DUMMYFUNCTION("""COMPUTED_VALUE"""),"Air")</f>
        <v>Air</v>
      </c>
      <c r="K98" s="1" t="str">
        <f ca="1">IFERROR(__xludf.DUMMYFUNCTION("""COMPUTED_VALUE"""),"EK 9239/09")</f>
        <v>EK 9239/09</v>
      </c>
      <c r="L98" s="1" t="str">
        <f ca="1">IFERROR(__xludf.DUMMYFUNCTION("""COMPUTED_VALUE"""),"Emirates")</f>
        <v>Emirates</v>
      </c>
      <c r="M98" s="1" t="str">
        <f ca="1">IFERROR(__xludf.DUMMYFUNCTION("""COMPUTED_VALUE"""),"17680954532")</f>
        <v>17680954532</v>
      </c>
      <c r="N98" s="1" t="str">
        <f ca="1">IFERROR(__xludf.DUMMYFUNCTION("""COMPUTED_VALUE"""),"17680954532")</f>
        <v>17680954532</v>
      </c>
      <c r="O98" s="1" t="str">
        <f ca="1">IFERROR(__xludf.DUMMYFUNCTION("""COMPUTED_VALUE"""),"Express Bill of Lading")</f>
        <v>Express Bill of Lading</v>
      </c>
      <c r="P98" s="1" t="str">
        <f ca="1">IFERROR(__xludf.DUMMYFUNCTION("""COMPUTED_VALUE"""),"17680954532")</f>
        <v>17680954532</v>
      </c>
      <c r="Q98" s="1"/>
      <c r="R98" s="1" t="str">
        <f ca="1">IFERROR(__xludf.DUMMYFUNCTION("""COMPUTED_VALUE"""),"WORLD FLIGHT SERVICES")</f>
        <v>WORLD FLIGHT SERVICES</v>
      </c>
      <c r="S98" s="1" t="str">
        <f ca="1">IFERROR(__xludf.DUMMYFUNCTION("""COMPUTED_VALUE"""),"Greens Transport")</f>
        <v>Greens Transport</v>
      </c>
      <c r="T98" s="1" t="str">
        <f ca="1">IFERROR(__xludf.DUMMYFUNCTION("""COMPUTED_VALUE"""),"Hlayisani")</f>
        <v>Hlayisani</v>
      </c>
      <c r="U98" s="1"/>
      <c r="V98" s="1" t="str">
        <f ca="1">IFERROR(__xludf.DUMMYFUNCTION("""COMPUTED_VALUE"""),"KK93YT GP")</f>
        <v>KK93YT GP</v>
      </c>
      <c r="W98" s="1"/>
      <c r="X98" s="1"/>
      <c r="Y98" s="1"/>
      <c r="Z98" s="1"/>
    </row>
    <row r="99" spans="1:26" x14ac:dyDescent="0.3">
      <c r="A99" s="1" t="str">
        <f ca="1">IFERROR(__xludf.DUMMYFUNCTION("""COMPUTED_VALUE"""),"DL77")</f>
        <v>DL77</v>
      </c>
      <c r="B99" s="1" t="str">
        <f ca="1">IFERROR(__xludf.DUMMYFUNCTION("""COMPUTED_VALUE"""),"Filter Industries")</f>
        <v>Filter Industries</v>
      </c>
      <c r="C99" s="1" t="str">
        <f ca="1">IFERROR(__xludf.DUMMYFUNCTION("""COMPUTED_VALUE"""),"Delivered")</f>
        <v>Delivered</v>
      </c>
      <c r="D99" s="3">
        <f ca="1">IFERROR(__xludf.DUMMYFUNCTION("""COMPUTED_VALUE"""),45255)</f>
        <v>45255</v>
      </c>
      <c r="E99" s="1" t="str">
        <f ca="1">IFERROR(__xludf.DUMMYFUNCTION("""COMPUTED_VALUE"""),"QINGDAO")</f>
        <v>QINGDAO</v>
      </c>
      <c r="F99" s="1" t="str">
        <f ca="1">IFERROR(__xludf.DUMMYFUNCTION("""COMPUTED_VALUE"""),"DURBAN")</f>
        <v>DURBAN</v>
      </c>
      <c r="G99" s="3">
        <f ca="1">IFERROR(__xludf.DUMMYFUNCTION("""COMPUTED_VALUE"""),45300)</f>
        <v>45300</v>
      </c>
      <c r="H99" s="3">
        <f ca="1">IFERROR(__xludf.DUMMYFUNCTION("""COMPUTED_VALUE"""),45309)</f>
        <v>45309</v>
      </c>
      <c r="I99" s="1" t="str">
        <f ca="1">IFERROR(__xludf.DUMMYFUNCTION("""COMPUTED_VALUE"""),"Shenzhen Nimbus")</f>
        <v>Shenzhen Nimbus</v>
      </c>
      <c r="J99" s="1" t="str">
        <f ca="1">IFERROR(__xludf.DUMMYFUNCTION("""COMPUTED_VALUE"""),"Sea")</f>
        <v>Sea</v>
      </c>
      <c r="K99" s="1" t="str">
        <f ca="1">IFERROR(__xludf.DUMMYFUNCTION("""COMPUTED_VALUE"""),"Ocean Network Express")</f>
        <v>Ocean Network Express</v>
      </c>
      <c r="L99" s="1" t="str">
        <f ca="1">IFERROR(__xludf.DUMMYFUNCTION("""COMPUTED_VALUE"""),"NYK FUJI/123W")</f>
        <v>NYK FUJI/123W</v>
      </c>
      <c r="M99" s="1" t="str">
        <f ca="1">IFERROR(__xludf.DUMMYFUNCTION("""COMPUTED_VALUE"""),"ONEYTA3PYN481800")</f>
        <v>ONEYTA3PYN481800</v>
      </c>
      <c r="N99" s="1" t="str">
        <f ca="1">IFERROR(__xludf.DUMMYFUNCTION("""COMPUTED_VALUE"""),"NBJNB23110002")</f>
        <v>NBJNB23110002</v>
      </c>
      <c r="O99" s="1" t="str">
        <f ca="1">IFERROR(__xludf.DUMMYFUNCTION("""COMPUTED_VALUE"""),"Express Bill of Lading")</f>
        <v>Express Bill of Lading</v>
      </c>
      <c r="P99" s="1" t="str">
        <f ca="1">IFERROR(__xludf.DUMMYFUNCTION("""COMPUTED_VALUE"""),"FBIU5262059")</f>
        <v>FBIU5262059</v>
      </c>
      <c r="Q99" s="1" t="str">
        <f ca="1">IFERROR(__xludf.DUMMYFUNCTION("""COMPUTED_VALUE"""),"CN66957AC")</f>
        <v>CN66957AC</v>
      </c>
      <c r="R99" s="1" t="str">
        <f ca="1">IFERROR(__xludf.DUMMYFUNCTION("""COMPUTED_VALUE"""),"CONTRA CONSOLIDATIONS")</f>
        <v>CONTRA CONSOLIDATIONS</v>
      </c>
      <c r="S99" s="1"/>
      <c r="T99" s="1" t="str">
        <f ca="1">IFERROR(__xludf.DUMMYFUNCTION("""COMPUTED_VALUE"""),"Mativenga Tatenda")</f>
        <v>Mativenga Tatenda</v>
      </c>
      <c r="U99" s="1" t="str">
        <f ca="1">IFERROR(__xludf.DUMMYFUNCTION("""COMPUTED_VALUE"""),"16849 EM")</f>
        <v>16849 EM</v>
      </c>
      <c r="V99" s="1" t="str">
        <f ca="1">IFERROR(__xludf.DUMMYFUNCTION("""COMPUTED_VALUE"""),"RJB 963 GP")</f>
        <v>RJB 963 GP</v>
      </c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 t="str">
        <f ca="1">IFERROR(__xludf.DUMMYFUNCTION("""COMPUTED_VALUE"""),"DL76")</f>
        <v>DL76</v>
      </c>
      <c r="B101" s="1" t="str">
        <f ca="1">IFERROR(__xludf.DUMMYFUNCTION("""COMPUTED_VALUE"""),"Mzobanzi Sineke")</f>
        <v>Mzobanzi Sineke</v>
      </c>
      <c r="C101" s="1" t="str">
        <f ca="1">IFERROR(__xludf.DUMMYFUNCTION("""COMPUTED_VALUE"""),"Delivered")</f>
        <v>Delivered</v>
      </c>
      <c r="D101" s="3">
        <f ca="1">IFERROR(__xludf.DUMMYFUNCTION("""COMPUTED_VALUE"""),45244)</f>
        <v>45244</v>
      </c>
      <c r="E101" s="1" t="str">
        <f ca="1">IFERROR(__xludf.DUMMYFUNCTION("""COMPUTED_VALUE"""),"China port")</f>
        <v>China port</v>
      </c>
      <c r="F101" s="1" t="str">
        <f ca="1">IFERROR(__xludf.DUMMYFUNCTION("""COMPUTED_VALUE"""),"Or Tambo")</f>
        <v>Or Tambo</v>
      </c>
      <c r="G101" s="3">
        <f ca="1">IFERROR(__xludf.DUMMYFUNCTION("""COMPUTED_VALUE"""),45259)</f>
        <v>45259</v>
      </c>
      <c r="H101" s="3">
        <f ca="1">IFERROR(__xludf.DUMMYFUNCTION("""COMPUTED_VALUE"""),45272)</f>
        <v>45272</v>
      </c>
      <c r="I101" s="1" t="str">
        <f ca="1">IFERROR(__xludf.DUMMYFUNCTION("""COMPUTED_VALUE"""),"OBD Logistics")</f>
        <v>OBD Logistics</v>
      </c>
      <c r="J101" s="1" t="str">
        <f ca="1">IFERROR(__xludf.DUMMYFUNCTION("""COMPUTED_VALUE"""),"Air")</f>
        <v>Air</v>
      </c>
      <c r="K101" s="1" t="str">
        <f ca="1">IFERROR(__xludf.DUMMYFUNCTION("""COMPUTED_VALUE"""),"FEDEX")</f>
        <v>FEDEX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ca="1">IFERROR(__xludf.DUMMYFUNCTION("""COMPUTED_VALUE"""),"The goods are at the warehouse awaiting to be dispatched... the goods are going to be delivered to the client by courier guy... The shipment was handled by Fedex")</f>
        <v>The goods are at the warehouse awaiting to be dispatched... the goods are going to be delivered to the client by courier guy... The shipment was handled by Fedex</v>
      </c>
      <c r="X101" s="1" t="str">
        <f ca="1">IFERROR(__xludf.DUMMYFUNCTION("""COMPUTED_VALUE"""),"8/12 /23")</f>
        <v>8/12 /23</v>
      </c>
      <c r="Y101" s="1"/>
      <c r="Z101" s="1"/>
    </row>
    <row r="102" spans="1:26" x14ac:dyDescent="0.3">
      <c r="A102" s="1" t="str">
        <f ca="1">IFERROR(__xludf.DUMMYFUNCTION("""COMPUTED_VALUE"""),"DL73")</f>
        <v>DL73</v>
      </c>
      <c r="B102" s="1" t="str">
        <f ca="1">IFERROR(__xludf.DUMMYFUNCTION("""COMPUTED_VALUE"""),"Omega Spices and Food Import and Export")</f>
        <v>Omega Spices and Food Import and Export</v>
      </c>
      <c r="C102" s="1" t="str">
        <f ca="1">IFERROR(__xludf.DUMMYFUNCTION("""COMPUTED_VALUE"""),"Delivered")</f>
        <v>Delivered</v>
      </c>
      <c r="D102" s="3">
        <f ca="1">IFERROR(__xludf.DUMMYFUNCTION("""COMPUTED_VALUE"""),45244)</f>
        <v>45244</v>
      </c>
      <c r="E102" s="1" t="str">
        <f ca="1">IFERROR(__xludf.DUMMYFUNCTION("""COMPUTED_VALUE"""),"MUNDRA (INDIA)")</f>
        <v>MUNDRA (INDIA)</v>
      </c>
      <c r="F102" s="1" t="str">
        <f ca="1">IFERROR(__xludf.DUMMYFUNCTION("""COMPUTED_VALUE"""),"Durban")</f>
        <v>Durban</v>
      </c>
      <c r="G102" s="3">
        <f ca="1">IFERROR(__xludf.DUMMYFUNCTION("""COMPUTED_VALUE"""),45282)</f>
        <v>45282</v>
      </c>
      <c r="H102" s="3">
        <f ca="1">IFERROR(__xludf.DUMMYFUNCTION("""COMPUTED_VALUE"""),45297)</f>
        <v>45297</v>
      </c>
      <c r="I102" s="1"/>
      <c r="J102" s="1" t="str">
        <f ca="1">IFERROR(__xludf.DUMMYFUNCTION("""COMPUTED_VALUE"""),"Sea")</f>
        <v>Sea</v>
      </c>
      <c r="K102" s="1" t="str">
        <f ca="1">IFERROR(__xludf.DUMMYFUNCTION("""COMPUTED_VALUE"""),"Hapag Lloyd")</f>
        <v>Hapag Lloyd</v>
      </c>
      <c r="L102" s="1" t="str">
        <f ca="1">IFERROR(__xludf.DUMMYFUNCTION("""COMPUTED_VALUE"""),"VOLANS 2344W")</f>
        <v>VOLANS 2344W</v>
      </c>
      <c r="M102" s="1" t="str">
        <f ca="1">IFERROR(__xludf.DUMMYFUNCTION("""COMPUTED_VALUE"""),"HLCUDE1231045625")</f>
        <v>HLCUDE1231045625</v>
      </c>
      <c r="N102" s="1" t="str">
        <f ca="1">IFERROR(__xludf.DUMMYFUNCTION("""COMPUTED_VALUE"""),"HLCUDE1231045625")</f>
        <v>HLCUDE1231045625</v>
      </c>
      <c r="O102" s="1" t="str">
        <f ca="1">IFERROR(__xludf.DUMMYFUNCTION("""COMPUTED_VALUE"""),"Express Bill of Lading")</f>
        <v>Express Bill of Lading</v>
      </c>
      <c r="P102" s="1" t="str">
        <f ca="1">IFERROR(__xludf.DUMMYFUNCTION("""COMPUTED_VALUE"""),"HLBU 3464545")</f>
        <v>HLBU 3464545</v>
      </c>
      <c r="Q102" s="1" t="str">
        <f ca="1">IFERROR(__xludf.DUMMYFUNCTION("""COMPUTED_VALUE"""),"HLG3283122")</f>
        <v>HLG3283122</v>
      </c>
      <c r="R102" s="1" t="str">
        <f ca="1">IFERROR(__xludf.DUMMYFUNCTION("""COMPUTED_VALUE"""),"HAPAG LLOYD")</f>
        <v>HAPAG LLOYD</v>
      </c>
      <c r="S102" s="1"/>
      <c r="T102" s="1"/>
      <c r="U102" s="1"/>
      <c r="V102" s="1"/>
      <c r="W102" s="1" t="str">
        <f ca="1">IFERROR(__xludf.DUMMYFUNCTION("""COMPUTED_VALUE"""),"The vessel to arrive on 7 dec , ANF to be sent 5 days prior to arrival..... Container collected from the depot awaiting delivery")</f>
        <v>The vessel to arrive on 7 dec , ANF to be sent 5 days prior to arrival..... Container collected from the depot awaiting delivery</v>
      </c>
      <c r="X102" s="1"/>
      <c r="Y102" s="1"/>
      <c r="Z102" s="1"/>
    </row>
    <row r="103" spans="1:26" x14ac:dyDescent="0.3">
      <c r="A103" s="1" t="str">
        <f ca="1">IFERROR(__xludf.DUMMYFUNCTION("""COMPUTED_VALUE"""),"DL55")</f>
        <v>DL55</v>
      </c>
      <c r="B103" s="1" t="str">
        <f ca="1">IFERROR(__xludf.DUMMYFUNCTION("""COMPUTED_VALUE"""),"EPICUTIS Skin CARE")</f>
        <v>EPICUTIS Skin CARE</v>
      </c>
      <c r="C103" s="1" t="str">
        <f ca="1">IFERROR(__xludf.DUMMYFUNCTION("""COMPUTED_VALUE"""),"Delivered")</f>
        <v>Delivered</v>
      </c>
      <c r="D103" s="3">
        <f ca="1">IFERROR(__xludf.DUMMYFUNCTION("""COMPUTED_VALUE"""),45245)</f>
        <v>45245</v>
      </c>
      <c r="E103" s="1" t="str">
        <f ca="1">IFERROR(__xludf.DUMMYFUNCTION("""COMPUTED_VALUE"""),"Shekou")</f>
        <v>Shekou</v>
      </c>
      <c r="F103" s="1" t="str">
        <f ca="1">IFERROR(__xludf.DUMMYFUNCTION("""COMPUTED_VALUE"""),"DURBAN")</f>
        <v>DURBAN</v>
      </c>
      <c r="G103" s="3">
        <f ca="1">IFERROR(__xludf.DUMMYFUNCTION("""COMPUTED_VALUE"""),45279)</f>
        <v>45279</v>
      </c>
      <c r="H103" s="3">
        <f ca="1">IFERROR(__xludf.DUMMYFUNCTION("""COMPUTED_VALUE"""),45310)</f>
        <v>45310</v>
      </c>
      <c r="I103" s="1" t="str">
        <f ca="1">IFERROR(__xludf.DUMMYFUNCTION("""COMPUTED_VALUE"""),"Shenzhen Nimbus")</f>
        <v>Shenzhen Nimbus</v>
      </c>
      <c r="J103" s="1" t="str">
        <f ca="1">IFERROR(__xludf.DUMMYFUNCTION("""COMPUTED_VALUE"""),"Sea")</f>
        <v>Sea</v>
      </c>
      <c r="K103" s="1" t="str">
        <f ca="1">IFERROR(__xludf.DUMMYFUNCTION("""COMPUTED_VALUE"""),"S C")</f>
        <v>S C</v>
      </c>
      <c r="L103" s="1" t="str">
        <f ca="1">IFERROR(__xludf.DUMMYFUNCTION("""COMPUTED_VALUE"""),"San Christobal")</f>
        <v>San Christobal</v>
      </c>
      <c r="M103" s="1" t="str">
        <f ca="1">IFERROR(__xludf.DUMMYFUNCTION("""COMPUTED_VALUE"""),"232251733")</f>
        <v>232251733</v>
      </c>
      <c r="N103" s="1" t="str">
        <f ca="1">IFERROR(__xludf.DUMMYFUNCTION("""COMPUTED_VALUE"""),"SJHB23102614")</f>
        <v>SJHB23102614</v>
      </c>
      <c r="O103" s="1" t="str">
        <f ca="1">IFERROR(__xludf.DUMMYFUNCTION("""COMPUTED_VALUE"""),"Express Bill of Lading")</f>
        <v>Express Bill of Lading</v>
      </c>
      <c r="P103" s="1" t="str">
        <f ca="1">IFERROR(__xludf.DUMMYFUNCTION("""COMPUTED_VALUE"""),"SUDU6103788")</f>
        <v>SUDU6103788</v>
      </c>
      <c r="Q103" s="1" t="str">
        <f ca="1">IFERROR(__xludf.DUMMYFUNCTION("""COMPUTED_VALUE"""),"CN5491532")</f>
        <v>CN5491532</v>
      </c>
      <c r="R103" s="1" t="str">
        <f ca="1">IFERROR(__xludf.DUMMYFUNCTION("""COMPUTED_VALUE"""),"Afristar")</f>
        <v>Afristar</v>
      </c>
      <c r="S103" s="1" t="str">
        <f ca="1">IFERROR(__xludf.DUMMYFUNCTION("""COMPUTED_VALUE"""),"Greens Transport")</f>
        <v>Greens Transport</v>
      </c>
      <c r="T103" s="1" t="str">
        <f ca="1">IFERROR(__xludf.DUMMYFUNCTION("""COMPUTED_VALUE"""),"Hassan Green Jara")</f>
        <v>Hassan Green Jara</v>
      </c>
      <c r="U103" s="1" t="str">
        <f ca="1">IFERROR(__xludf.DUMMYFUNCTION("""COMPUTED_VALUE"""),"97512 DK")</f>
        <v>97512 DK</v>
      </c>
      <c r="V103" s="1" t="str">
        <f ca="1">IFERROR(__xludf.DUMMYFUNCTION("""COMPUTED_VALUE"""),"JV 14RR GP")</f>
        <v>JV 14RR GP</v>
      </c>
      <c r="W103" s="1"/>
      <c r="X103" s="1"/>
      <c r="Y103" s="1"/>
      <c r="Z103" s="1"/>
    </row>
    <row r="104" spans="1:26" x14ac:dyDescent="0.3">
      <c r="A104" s="1" t="str">
        <f ca="1">IFERROR(__xludf.DUMMYFUNCTION("""COMPUTED_VALUE"""),"DL79")</f>
        <v>DL79</v>
      </c>
      <c r="B104" s="1" t="str">
        <f ca="1">IFERROR(__xludf.DUMMYFUNCTION("""COMPUTED_VALUE"""),"Msimeki Mabuza")</f>
        <v>Msimeki Mabuza</v>
      </c>
      <c r="C104" s="1" t="str">
        <f ca="1">IFERROR(__xludf.DUMMYFUNCTION("""COMPUTED_VALUE"""),"Delivered")</f>
        <v>Delivered</v>
      </c>
      <c r="D104" s="3">
        <f ca="1">IFERROR(__xludf.DUMMYFUNCTION("""COMPUTED_VALUE"""),45245)</f>
        <v>45245</v>
      </c>
      <c r="E104" s="1" t="str">
        <f ca="1">IFERROR(__xludf.DUMMYFUNCTION("""COMPUTED_VALUE"""),"Shekou")</f>
        <v>Shekou</v>
      </c>
      <c r="F104" s="1" t="str">
        <f ca="1">IFERROR(__xludf.DUMMYFUNCTION("""COMPUTED_VALUE"""),"Durban")</f>
        <v>Durban</v>
      </c>
      <c r="G104" s="3">
        <f ca="1">IFERROR(__xludf.DUMMYFUNCTION("""COMPUTED_VALUE"""),45279)</f>
        <v>45279</v>
      </c>
      <c r="H104" s="3">
        <f ca="1">IFERROR(__xludf.DUMMYFUNCTION("""COMPUTED_VALUE"""),45279)</f>
        <v>45279</v>
      </c>
      <c r="I104" s="1" t="str">
        <f ca="1">IFERROR(__xludf.DUMMYFUNCTION("""COMPUTED_VALUE"""),"Shenzhen Nimbus")</f>
        <v>Shenzhen Nimbus</v>
      </c>
      <c r="J104" s="1" t="str">
        <f ca="1">IFERROR(__xludf.DUMMYFUNCTION("""COMPUTED_VALUE"""),"Sea")</f>
        <v>Sea</v>
      </c>
      <c r="K104" s="1" t="str">
        <f ca="1">IFERROR(__xludf.DUMMYFUNCTION("""COMPUTED_VALUE"""),"SC")</f>
        <v>SC</v>
      </c>
      <c r="L104" s="1" t="str">
        <f ca="1">IFERROR(__xludf.DUMMYFUNCTION("""COMPUTED_VALUE"""),"San Christobal")</f>
        <v>San Christobal</v>
      </c>
      <c r="M104" s="1" t="str">
        <f ca="1">IFERROR(__xludf.DUMMYFUNCTION("""COMPUTED_VALUE"""),"232251733")</f>
        <v>232251733</v>
      </c>
      <c r="N104" s="1" t="str">
        <f ca="1">IFERROR(__xludf.DUMMYFUNCTION("""COMPUTED_VALUE"""),"SJHB23102614")</f>
        <v>SJHB23102614</v>
      </c>
      <c r="O104" s="1" t="str">
        <f ca="1">IFERROR(__xludf.DUMMYFUNCTION("""COMPUTED_VALUE"""),"Express Bill of Lading")</f>
        <v>Express Bill of Lading</v>
      </c>
      <c r="P104" s="1" t="str">
        <f ca="1">IFERROR(__xludf.DUMMYFUNCTION("""COMPUTED_VALUE"""),"SUDU6103788")</f>
        <v>SUDU6103788</v>
      </c>
      <c r="Q104" s="1" t="str">
        <f ca="1">IFERROR(__xludf.DUMMYFUNCTION("""COMPUTED_VALUE"""),"ML-CN5491532")</f>
        <v>ML-CN5491532</v>
      </c>
      <c r="R104" s="1" t="str">
        <f ca="1">IFERROR(__xludf.DUMMYFUNCTION("""COMPUTED_VALUE"""),"Afristar")</f>
        <v>Afristar</v>
      </c>
      <c r="S104" s="1" t="str">
        <f ca="1">IFERROR(__xludf.DUMMYFUNCTION("""COMPUTED_VALUE"""),"Greens Transport")</f>
        <v>Greens Transport</v>
      </c>
      <c r="T104" s="1" t="str">
        <f ca="1">IFERROR(__xludf.DUMMYFUNCTION("""COMPUTED_VALUE"""),"Hassan Green Jara")</f>
        <v>Hassan Green Jara</v>
      </c>
      <c r="U104" s="1" t="str">
        <f ca="1">IFERROR(__xludf.DUMMYFUNCTION("""COMPUTED_VALUE"""),"97512 DK")</f>
        <v>97512 DK</v>
      </c>
      <c r="V104" s="1" t="str">
        <f ca="1">IFERROR(__xludf.DUMMYFUNCTION("""COMPUTED_VALUE"""),"Jv 14RR GP")</f>
        <v>Jv 14RR GP</v>
      </c>
      <c r="W104" s="1" t="str">
        <f ca="1">IFERROR(__xludf.DUMMYFUNCTION("""COMPUTED_VALUE"""),"The goods will move to joburg 11/01/2024")</f>
        <v>The goods will move to joburg 11/01/2024</v>
      </c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 t="str">
        <f ca="1">IFERROR(__xludf.DUMMYFUNCTION("""COMPUTED_VALUE"""),"DL58")</f>
        <v>DL58</v>
      </c>
      <c r="B106" s="1" t="str">
        <f ca="1">IFERROR(__xludf.DUMMYFUNCTION("""COMPUTED_VALUE"""),"Bolton")</f>
        <v>Bolton</v>
      </c>
      <c r="C106" s="1" t="str">
        <f ca="1">IFERROR(__xludf.DUMMYFUNCTION("""COMPUTED_VALUE"""),"Delivered")</f>
        <v>Delivered</v>
      </c>
      <c r="D106" s="3">
        <f ca="1">IFERROR(__xludf.DUMMYFUNCTION("""COMPUTED_VALUE"""),45221)</f>
        <v>45221</v>
      </c>
      <c r="E106" s="1" t="str">
        <f ca="1">IFERROR(__xludf.DUMMYFUNCTION("""COMPUTED_VALUE"""),"HongKong")</f>
        <v>HongKong</v>
      </c>
      <c r="F106" s="1" t="str">
        <f ca="1">IFERROR(__xludf.DUMMYFUNCTION("""COMPUTED_VALUE"""),"Durban")</f>
        <v>Durban</v>
      </c>
      <c r="G106" s="3">
        <f ca="1">IFERROR(__xludf.DUMMYFUNCTION("""COMPUTED_VALUE"""),45278)</f>
        <v>45278</v>
      </c>
      <c r="H106" s="3">
        <f ca="1">IFERROR(__xludf.DUMMYFUNCTION("""COMPUTED_VALUE"""),45278)</f>
        <v>45278</v>
      </c>
      <c r="I106" s="1" t="str">
        <f ca="1">IFERROR(__xludf.DUMMYFUNCTION("""COMPUTED_VALUE"""),"Shenzhen Nimbus")</f>
        <v>Shenzhen Nimbus</v>
      </c>
      <c r="J106" s="1" t="str">
        <f ca="1">IFERROR(__xludf.DUMMYFUNCTION("""COMPUTED_VALUE"""),"Sea")</f>
        <v>Sea</v>
      </c>
      <c r="K106" s="1" t="str">
        <f ca="1">IFERROR(__xludf.DUMMYFUNCTION("""COMPUTED_VALUE"""),"COSCO IZMIR 074W")</f>
        <v>COSCO IZMIR 074W</v>
      </c>
      <c r="L106" s="1" t="str">
        <f ca="1">IFERROR(__xludf.DUMMYFUNCTION("""COMPUTED_VALUE"""),"Kota Lima")</f>
        <v>Kota Lima</v>
      </c>
      <c r="M106" s="1" t="str">
        <f ca="1">IFERROR(__xludf.DUMMYFUNCTION("""COMPUTED_VALUE"""),"GYSJHB23092616")</f>
        <v>GYSJHB23092616</v>
      </c>
      <c r="N106" s="1" t="str">
        <f ca="1">IFERROR(__xludf.DUMMYFUNCTION("""COMPUTED_VALUE"""),"GYSJHB23092616")</f>
        <v>GYSJHB23092616</v>
      </c>
      <c r="O106" s="1" t="str">
        <f ca="1">IFERROR(__xludf.DUMMYFUNCTION("""COMPUTED_VALUE"""),"Express Bill of Lading")</f>
        <v>Express Bill of Lading</v>
      </c>
      <c r="P106" s="1" t="str">
        <f ca="1">IFERROR(__xludf.DUMMYFUNCTION("""COMPUTED_VALUE"""),"CXRU1633035")</f>
        <v>CXRU1633035</v>
      </c>
      <c r="Q106" s="1" t="str">
        <f ca="1">IFERROR(__xludf.DUMMYFUNCTION("""COMPUTED_VALUE"""),"HKA114565")</f>
        <v>HKA114565</v>
      </c>
      <c r="R106" s="1" t="str">
        <f ca="1">IFERROR(__xludf.DUMMYFUNCTION("""COMPUTED_VALUE"""),"Afristar")</f>
        <v>Afristar</v>
      </c>
      <c r="S106" s="1" t="str">
        <f ca="1">IFERROR(__xludf.DUMMYFUNCTION("""COMPUTED_VALUE"""),"Greens Transport")</f>
        <v>Greens Transport</v>
      </c>
      <c r="T106" s="1" t="str">
        <f ca="1">IFERROR(__xludf.DUMMYFUNCTION("""COMPUTED_VALUE"""),"Hassan Green Jara")</f>
        <v>Hassan Green Jara</v>
      </c>
      <c r="U106" s="1" t="str">
        <f ca="1">IFERROR(__xludf.DUMMYFUNCTION("""COMPUTED_VALUE"""),"97512 DK")</f>
        <v>97512 DK</v>
      </c>
      <c r="V106" s="1" t="str">
        <f ca="1">IFERROR(__xludf.DUMMYFUNCTION("""COMPUTED_VALUE"""),"JV 14RR GP")</f>
        <v>JV 14RR GP</v>
      </c>
      <c r="W106" s="1"/>
      <c r="X106" s="1" t="str">
        <f ca="1">IFERROR(__xludf.DUMMYFUNCTION("""COMPUTED_VALUE"""),"08/1/23  at the Depot")</f>
        <v>08/1/23  at the Depot</v>
      </c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 t="str">
        <f ca="1">IFERROR(__xludf.DUMMYFUNCTION("""COMPUTED_VALUE"""),"DL85")</f>
        <v>DL85</v>
      </c>
      <c r="B108" s="1" t="str">
        <f ca="1">IFERROR(__xludf.DUMMYFUNCTION("""COMPUTED_VALUE"""),"KONE AND JC")</f>
        <v>KONE AND JC</v>
      </c>
      <c r="C108" s="1" t="str">
        <f ca="1">IFERROR(__xludf.DUMMYFUNCTION("""COMPUTED_VALUE"""),"Delivered")</f>
        <v>Delivered</v>
      </c>
      <c r="D108" s="3">
        <f ca="1">IFERROR(__xludf.DUMMYFUNCTION("""COMPUTED_VALUE"""),45258)</f>
        <v>45258</v>
      </c>
      <c r="E108" s="1" t="str">
        <f ca="1">IFERROR(__xludf.DUMMYFUNCTION("""COMPUTED_VALUE"""),"Or tambo")</f>
        <v>Or tambo</v>
      </c>
      <c r="F108" s="1" t="str">
        <f ca="1">IFERROR(__xludf.DUMMYFUNCTION("""COMPUTED_VALUE"""),"Luanda")</f>
        <v>Luanda</v>
      </c>
      <c r="G108" s="3">
        <f ca="1">IFERROR(__xludf.DUMMYFUNCTION("""COMPUTED_VALUE"""),45268)</f>
        <v>45268</v>
      </c>
      <c r="H108" s="3">
        <f ca="1">IFERROR(__xludf.DUMMYFUNCTION("""COMPUTED_VALUE"""),45273)</f>
        <v>45273</v>
      </c>
      <c r="I108" s="1" t="str">
        <f ca="1">IFERROR(__xludf.DUMMYFUNCTION("""COMPUTED_VALUE"""),"Fedex")</f>
        <v>Fedex</v>
      </c>
      <c r="J108" s="1" t="str">
        <f ca="1">IFERROR(__xludf.DUMMYFUNCTION("""COMPUTED_VALUE"""),"Air")</f>
        <v>Air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ca="1">IFERROR(__xludf.DUMMYFUNCTION("""COMPUTED_VALUE"""),"Goods have arrived in Luand awaiting for clearing")</f>
        <v>Goods have arrived in Luand awaiting for clearing</v>
      </c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 t="str">
        <f ca="1">IFERROR(__xludf.DUMMYFUNCTION("""COMPUTED_VALUE"""),"DL57")</f>
        <v>DL57</v>
      </c>
      <c r="B110" s="1" t="str">
        <f ca="1">IFERROR(__xludf.DUMMYFUNCTION("""COMPUTED_VALUE"""),"Mohammad Fouzan")</f>
        <v>Mohammad Fouzan</v>
      </c>
      <c r="C110" s="1" t="str">
        <f ca="1">IFERROR(__xludf.DUMMYFUNCTION("""COMPUTED_VALUE"""),"Delivered")</f>
        <v>Delivered</v>
      </c>
      <c r="D110" s="3">
        <f ca="1">IFERROR(__xludf.DUMMYFUNCTION("""COMPUTED_VALUE"""),45145)</f>
        <v>45145</v>
      </c>
      <c r="E110" s="1" t="str">
        <f ca="1">IFERROR(__xludf.DUMMYFUNCTION("""COMPUTED_VALUE"""),"SHENZHEN")</f>
        <v>SHENZHEN</v>
      </c>
      <c r="F110" s="1" t="str">
        <f ca="1">IFERROR(__xludf.DUMMYFUNCTION("""COMPUTED_VALUE"""),"DURBAN")</f>
        <v>DURBAN</v>
      </c>
      <c r="G110" s="3">
        <f ca="1">IFERROR(__xludf.DUMMYFUNCTION("""COMPUTED_VALUE"""),45279)</f>
        <v>45279</v>
      </c>
      <c r="H110" s="3">
        <f ca="1">IFERROR(__xludf.DUMMYFUNCTION("""COMPUTED_VALUE"""),45279)</f>
        <v>45279</v>
      </c>
      <c r="I110" s="1" t="str">
        <f ca="1">IFERROR(__xludf.DUMMYFUNCTION("""COMPUTED_VALUE"""),"Shenzhen Nimbus")</f>
        <v>Shenzhen Nimbus</v>
      </c>
      <c r="J110" s="1" t="str">
        <f ca="1">IFERROR(__xludf.DUMMYFUNCTION("""COMPUTED_VALUE"""),"Sea")</f>
        <v>Sea</v>
      </c>
      <c r="K110" s="1" t="str">
        <f ca="1">IFERROR(__xludf.DUMMYFUNCTION("""COMPUTED_VALUE"""),"COSCO IZMIR V074W")</f>
        <v>COSCO IZMIR V074W</v>
      </c>
      <c r="L110" s="1" t="str">
        <f ca="1">IFERROR(__xludf.DUMMYFUNCTION("""COMPUTED_VALUE"""),"COSCO")</f>
        <v>COSCO</v>
      </c>
      <c r="M110" s="1" t="str">
        <f ca="1">IFERROR(__xludf.DUMMYFUNCTION("""COMPUTED_VALUE"""),"COSU6891412630")</f>
        <v>COSU6891412630</v>
      </c>
      <c r="N110" s="1" t="str">
        <f ca="1">IFERROR(__xludf.DUMMYFUNCTION("""COMPUTED_VALUE"""),"SNSL23090549")</f>
        <v>SNSL23090549</v>
      </c>
      <c r="O110" s="1" t="str">
        <f ca="1">IFERROR(__xludf.DUMMYFUNCTION("""COMPUTED_VALUE"""),"Express Bill of Lading")</f>
        <v>Express Bill of Lading</v>
      </c>
      <c r="P110" s="1" t="str">
        <f ca="1">IFERROR(__xludf.DUMMYFUNCTION("""COMPUTED_VALUE"""),"DFOU6134080")</f>
        <v>DFOU6134080</v>
      </c>
      <c r="Q110" s="1"/>
      <c r="R110" s="1" t="str">
        <f ca="1">IFERROR(__xludf.DUMMYFUNCTION("""COMPUTED_VALUE"""),"Afristar")</f>
        <v>Afristar</v>
      </c>
      <c r="S110" s="1" t="str">
        <f ca="1">IFERROR(__xludf.DUMMYFUNCTION("""COMPUTED_VALUE"""),"Sanbro")</f>
        <v>Sanbro</v>
      </c>
      <c r="T110" s="1" t="str">
        <f ca="1">IFERROR(__xludf.DUMMYFUNCTION("""COMPUTED_VALUE"""),"ASHENDRA PILLAY")</f>
        <v>ASHENDRA PILLAY</v>
      </c>
      <c r="U110" s="1"/>
      <c r="V110" s="1" t="str">
        <f ca="1">IFERROR(__xludf.DUMMYFUNCTION("""COMPUTED_VALUE"""),"ND95872")</f>
        <v>ND95872</v>
      </c>
      <c r="W110" s="1" t="str">
        <f ca="1">IFERROR(__xludf.DUMMYFUNCTION("""COMPUTED_VALUE"""),"Awaiting SOB documents, updated ETA 25 October.. Container at the port for Sars inspection .AWAITING FOR SARS RELEASE.. container had been unpacked awaiting for  release. container released by SAPS-28/11/23")</f>
        <v>Awaiting SOB documents, updated ETA 25 October.. Container at the port for Sars inspection .AWAITING FOR SARS RELEASE.. container had been unpacked awaiting for  release. container released by SAPS-28/11/23</v>
      </c>
      <c r="X110" s="1" t="str">
        <f ca="1">IFERROR(__xludf.DUMMYFUNCTION("""COMPUTED_VALUE"""),"01/12/2023")</f>
        <v>01/12/2023</v>
      </c>
      <c r="Y110" s="1" t="str">
        <f ca="1">IFERROR(__xludf.DUMMYFUNCTION("""COMPUTED_VALUE"""),"Delivered 04/12 /2023")</f>
        <v>Delivered 04/12 /2023</v>
      </c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 t="str">
        <f ca="1">IFERROR(__xludf.DUMMYFUNCTION("""COMPUTED_VALUE"""),"DL87")</f>
        <v>DL87</v>
      </c>
      <c r="B112" s="1" t="str">
        <f ca="1">IFERROR(__xludf.DUMMYFUNCTION("""COMPUTED_VALUE"""),"Mohale Pilusa")</f>
        <v>Mohale Pilusa</v>
      </c>
      <c r="C112" s="1" t="str">
        <f ca="1">IFERROR(__xludf.DUMMYFUNCTION("""COMPUTED_VALUE"""),"Delivered")</f>
        <v>Delivered</v>
      </c>
      <c r="D112" s="3">
        <f ca="1">IFERROR(__xludf.DUMMYFUNCTION("""COMPUTED_VALUE"""),45266)</f>
        <v>45266</v>
      </c>
      <c r="E112" s="1" t="str">
        <f ca="1">IFERROR(__xludf.DUMMYFUNCTION("""COMPUTED_VALUE"""),"Hong Kong")</f>
        <v>Hong Kong</v>
      </c>
      <c r="F112" s="1" t="str">
        <f ca="1">IFERROR(__xludf.DUMMYFUNCTION("""COMPUTED_VALUE"""),"OR TAMBO")</f>
        <v>OR TAMBO</v>
      </c>
      <c r="G112" s="3">
        <f ca="1">IFERROR(__xludf.DUMMYFUNCTION("""COMPUTED_VALUE"""),45289)</f>
        <v>45289</v>
      </c>
      <c r="H112" s="3">
        <f ca="1">IFERROR(__xludf.DUMMYFUNCTION("""COMPUTED_VALUE"""),45289)</f>
        <v>45289</v>
      </c>
      <c r="I112" s="1" t="str">
        <f ca="1">IFERROR(__xludf.DUMMYFUNCTION("""COMPUTED_VALUE"""),"OBD Logistics")</f>
        <v>OBD Logistics</v>
      </c>
      <c r="J112" s="1" t="str">
        <f ca="1">IFERROR(__xludf.DUMMYFUNCTION("""COMPUTED_VALUE"""),"Air")</f>
        <v>Air</v>
      </c>
      <c r="K112" s="1" t="str">
        <f ca="1">IFERROR(__xludf.DUMMYFUNCTION("""COMPUTED_VALUE"""),"Emirates EK9247/39")</f>
        <v>Emirates EK9247/39</v>
      </c>
      <c r="L112" s="1"/>
      <c r="M112" s="1" t="str">
        <f ca="1">IFERROR(__xludf.DUMMYFUNCTION("""COMPUTED_VALUE"""),"17696233771")</f>
        <v>17696233771</v>
      </c>
      <c r="N112" s="1"/>
      <c r="O112" s="1" t="str">
        <f ca="1">IFERROR(__xludf.DUMMYFUNCTION("""COMPUTED_VALUE"""),"Express Bill of Lading")</f>
        <v>Express Bill of Lading</v>
      </c>
      <c r="P112" s="1"/>
      <c r="Q112" s="1"/>
      <c r="R112" s="1" t="str">
        <f ca="1">IFERROR(__xludf.DUMMYFUNCTION("""COMPUTED_VALUE"""),"Menzies International")</f>
        <v>Menzies International</v>
      </c>
      <c r="S112" s="1" t="str">
        <f ca="1">IFERROR(__xludf.DUMMYFUNCTION("""COMPUTED_VALUE"""),"Greens Transport")</f>
        <v>Greens Transport</v>
      </c>
      <c r="T112" s="1" t="str">
        <f ca="1">IFERROR(__xludf.DUMMYFUNCTION("""COMPUTED_VALUE"""),"Green Jara")</f>
        <v>Green Jara</v>
      </c>
      <c r="U112" s="1"/>
      <c r="V112" s="1" t="str">
        <f ca="1">IFERROR(__xludf.DUMMYFUNCTION("""COMPUTED_VALUE"""),"JV14RRGP")</f>
        <v>JV14RRGP</v>
      </c>
      <c r="W112" s="1" t="str">
        <f ca="1">IFERROR(__xludf.DUMMYFUNCTION("""COMPUTED_VALUE"""),"Goods were collected from the Port , now at our warehouse")</f>
        <v>Goods were collected from the Port , now at our warehouse</v>
      </c>
      <c r="X112" s="1" t="str">
        <f ca="1">IFERROR(__xludf.DUMMYFUNCTION("""COMPUTED_VALUE"""),"03/01/23")</f>
        <v>03/01/23</v>
      </c>
      <c r="Y112" s="1"/>
      <c r="Z112" s="1"/>
    </row>
    <row r="113" spans="1:26" x14ac:dyDescent="0.3">
      <c r="A113" s="1" t="str">
        <f ca="1">IFERROR(__xludf.DUMMYFUNCTION("""COMPUTED_VALUE"""),"DL88")</f>
        <v>DL88</v>
      </c>
      <c r="B113" s="1" t="str">
        <f ca="1">IFERROR(__xludf.DUMMYFUNCTION("""COMPUTED_VALUE"""),"VYKON (PTY) LTD")</f>
        <v>VYKON (PTY) LTD</v>
      </c>
      <c r="C113" s="1" t="str">
        <f ca="1">IFERROR(__xludf.DUMMYFUNCTION("""COMPUTED_VALUE"""),"Delivered")</f>
        <v>Delivered</v>
      </c>
      <c r="D113" s="3">
        <f ca="1">IFERROR(__xludf.DUMMYFUNCTION("""COMPUTED_VALUE"""),45294)</f>
        <v>45294</v>
      </c>
      <c r="E113" s="1" t="str">
        <f ca="1">IFERROR(__xludf.DUMMYFUNCTION("""COMPUTED_VALUE"""),"SHEKOU")</f>
        <v>SHEKOU</v>
      </c>
      <c r="F113" s="1" t="str">
        <f ca="1">IFERROR(__xludf.DUMMYFUNCTION("""COMPUTED_VALUE"""),"Durban")</f>
        <v>Durban</v>
      </c>
      <c r="G113" s="3">
        <f ca="1">IFERROR(__xludf.DUMMYFUNCTION("""COMPUTED_VALUE"""),45330)</f>
        <v>45330</v>
      </c>
      <c r="H113" s="3">
        <f ca="1">IFERROR(__xludf.DUMMYFUNCTION("""COMPUTED_VALUE"""),45334)</f>
        <v>45334</v>
      </c>
      <c r="I113" s="1" t="str">
        <f ca="1">IFERROR(__xludf.DUMMYFUNCTION("""COMPUTED_VALUE"""),"OBD Logistics")</f>
        <v>OBD Logistics</v>
      </c>
      <c r="J113" s="1" t="str">
        <f ca="1">IFERROR(__xludf.DUMMYFUNCTION("""COMPUTED_VALUE"""),"Sea")</f>
        <v>Sea</v>
      </c>
      <c r="K113" s="1" t="str">
        <f ca="1">IFERROR(__xludf.DUMMYFUNCTION("""COMPUTED_VALUE"""),"20796777")</f>
        <v>20796777</v>
      </c>
      <c r="L113" s="1" t="str">
        <f ca="1">IFERROR(__xludf.DUMMYFUNCTION("""COMPUTED_VALUE"""),"BEAR MOUNTAIN BRIDGE 118W")</f>
        <v>BEAR MOUNTAIN BRIDGE 118W</v>
      </c>
      <c r="M113" s="1" t="str">
        <f ca="1">IFERROR(__xludf.DUMMYFUNCTION("""COMPUTED_VALUE"""),"ONEYSZPDV3642500")</f>
        <v>ONEYSZPDV3642500</v>
      </c>
      <c r="N113" s="1" t="str">
        <f ca="1">IFERROR(__xludf.DUMMYFUNCTION("""COMPUTED_VALUE"""),"LLLJHB23C13224")</f>
        <v>LLLJHB23C13224</v>
      </c>
      <c r="O113" s="1" t="str">
        <f ca="1">IFERROR(__xludf.DUMMYFUNCTION("""COMPUTED_VALUE"""),"Express Bill of Lading")</f>
        <v>Express Bill of Lading</v>
      </c>
      <c r="P113" s="1" t="str">
        <f ca="1">IFERROR(__xludf.DUMMYFUNCTION("""COMPUTED_VALUE"""),"TTNU-8437227")</f>
        <v>TTNU-8437227</v>
      </c>
      <c r="Q113" s="1" t="str">
        <f ca="1">IFERROR(__xludf.DUMMYFUNCTION("""COMPUTED_VALUE"""),"CNB506309")</f>
        <v>CNB506309</v>
      </c>
      <c r="R113" s="1" t="str">
        <f ca="1">IFERROR(__xludf.DUMMYFUNCTION("""COMPUTED_VALUE"""),"Afristar")</f>
        <v>Afristar</v>
      </c>
      <c r="S113" s="1" t="str">
        <f ca="1">IFERROR(__xludf.DUMMYFUNCTION("""COMPUTED_VALUE"""),"Greens Transport")</f>
        <v>Greens Transport</v>
      </c>
      <c r="T113" s="1"/>
      <c r="U113" s="1"/>
      <c r="V113" s="1"/>
      <c r="W113" s="1"/>
      <c r="X113" s="1"/>
      <c r="Y113" s="1"/>
      <c r="Z113" s="1"/>
    </row>
    <row r="114" spans="1:26" x14ac:dyDescent="0.3">
      <c r="A114" s="1" t="str">
        <f ca="1">IFERROR(__xludf.DUMMYFUNCTION("""COMPUTED_VALUE"""),"DL89")</f>
        <v>DL89</v>
      </c>
      <c r="B114" s="1" t="str">
        <f ca="1">IFERROR(__xludf.DUMMYFUNCTION("""COMPUTED_VALUE"""),"Sithembe Procuments")</f>
        <v>Sithembe Procuments</v>
      </c>
      <c r="C114" s="1" t="str">
        <f ca="1">IFERROR(__xludf.DUMMYFUNCTION("""COMPUTED_VALUE"""),"Delivered")</f>
        <v>Delivered</v>
      </c>
      <c r="D114" s="3">
        <f ca="1">IFERROR(__xludf.DUMMYFUNCTION("""COMPUTED_VALUE"""),45244)</f>
        <v>45244</v>
      </c>
      <c r="E114" s="1" t="str">
        <f ca="1">IFERROR(__xludf.DUMMYFUNCTION("""COMPUTED_VALUE"""),"FRANKFURT AM MAIN")</f>
        <v>FRANKFURT AM MAIN</v>
      </c>
      <c r="F114" s="1" t="str">
        <f ca="1">IFERROR(__xludf.DUMMYFUNCTION("""COMPUTED_VALUE"""),"JOHANNESBURG")</f>
        <v>JOHANNESBURG</v>
      </c>
      <c r="G114" s="3">
        <f ca="1">IFERROR(__xludf.DUMMYFUNCTION("""COMPUTED_VALUE"""),45251)</f>
        <v>45251</v>
      </c>
      <c r="H114" s="3">
        <f ca="1">IFERROR(__xludf.DUMMYFUNCTION("""COMPUTED_VALUE"""),45286)</f>
        <v>45286</v>
      </c>
      <c r="I114" s="1" t="str">
        <f ca="1">IFERROR(__xludf.DUMMYFUNCTION("""COMPUTED_VALUE"""),"Fedex")</f>
        <v>Fedex</v>
      </c>
      <c r="J114" s="1" t="str">
        <f ca="1">IFERROR(__xludf.DUMMYFUNCTION("""COMPUTED_VALUE"""),"Air")</f>
        <v>Air</v>
      </c>
      <c r="K114" s="1" t="str">
        <f ca="1">IFERROR(__xludf.DUMMYFUNCTION("""COMPUTED_VALUE"""),"KL")</f>
        <v>KL</v>
      </c>
      <c r="L114" s="1" t="str">
        <f ca="1">IFERROR(__xludf.DUMMYFUNCTION("""COMPUTED_VALUE"""),"KLM ROYAL DUTCH AIRLINES")</f>
        <v>KLM ROYAL DUTCH AIRLINES</v>
      </c>
      <c r="M114" s="1" t="str">
        <f ca="1">IFERROR(__xludf.DUMMYFUNCTION("""COMPUTED_VALUE"""),"074-62889805")</f>
        <v>074-62889805</v>
      </c>
      <c r="N114" s="1" t="str">
        <f ca="1">IFERROR(__xludf.DUMMYFUNCTION("""COMPUTED_VALUE"""),"074-62889805")</f>
        <v>074-62889805</v>
      </c>
      <c r="O114" s="1" t="str">
        <f ca="1">IFERROR(__xludf.DUMMYFUNCTION("""COMPUTED_VALUE"""),"Express Bill of Lading")</f>
        <v>Express Bill of Lading</v>
      </c>
      <c r="P114" s="1" t="str">
        <f ca="1">IFERROR(__xludf.DUMMYFUNCTION("""COMPUTED_VALUE"""),"074-62889805")</f>
        <v>074-62889805</v>
      </c>
      <c r="Q114" s="1"/>
      <c r="R114" s="1" t="str">
        <f ca="1">IFERROR(__xludf.DUMMYFUNCTION("""COMPUTED_VALUE"""),"Swissport")</f>
        <v>Swissport</v>
      </c>
      <c r="S114" s="1"/>
      <c r="T114" s="1" t="str">
        <f ca="1">IFERROR(__xludf.DUMMYFUNCTION("""COMPUTED_VALUE"""),"Client collected from our warehouse 16/12 /2023")</f>
        <v>Client collected from our warehouse 16/12 /2023</v>
      </c>
      <c r="U114" s="1" t="str">
        <f ca="1">IFERROR(__xludf.DUMMYFUNCTION("""COMPUTED_VALUE"""),"97512-DK")</f>
        <v>97512-DK</v>
      </c>
      <c r="V114" s="1"/>
      <c r="W114" s="1" t="str">
        <f ca="1">IFERROR(__xludf.DUMMYFUNCTION("""COMPUTED_VALUE"""),"The goods are at our warehouse")</f>
        <v>The goods are at our warehouse</v>
      </c>
      <c r="X114" s="1" t="str">
        <f ca="1">IFERROR(__xludf.DUMMYFUNCTION("""COMPUTED_VALUE"""),"11/12/2023")</f>
        <v>11/12/2023</v>
      </c>
      <c r="Y114" s="1"/>
      <c r="Z114" s="1"/>
    </row>
    <row r="115" spans="1:26" x14ac:dyDescent="0.3">
      <c r="A115" s="1" t="str">
        <f ca="1">IFERROR(__xludf.DUMMYFUNCTION("""COMPUTED_VALUE"""),"DL90")</f>
        <v>DL90</v>
      </c>
      <c r="B115" s="1" t="str">
        <f ca="1">IFERROR(__xludf.DUMMYFUNCTION("""COMPUTED_VALUE"""),"lezahn")</f>
        <v>lezahn</v>
      </c>
      <c r="C115" s="1" t="str">
        <f ca="1">IFERROR(__xludf.DUMMYFUNCTION("""COMPUTED_VALUE"""),"Delivered")</f>
        <v>Delivered</v>
      </c>
      <c r="D115" s="3">
        <f ca="1">IFERROR(__xludf.DUMMYFUNCTION("""COMPUTED_VALUE"""),45273)</f>
        <v>45273</v>
      </c>
      <c r="E115" s="1"/>
      <c r="F115" s="1" t="str">
        <f ca="1">IFERROR(__xludf.DUMMYFUNCTION("""COMPUTED_VALUE"""),"Or Tambo")</f>
        <v>Or Tambo</v>
      </c>
      <c r="G115" s="3">
        <f ca="1">IFERROR(__xludf.DUMMYFUNCTION("""COMPUTED_VALUE"""),45289)</f>
        <v>45289</v>
      </c>
      <c r="H115" s="3">
        <f ca="1">IFERROR(__xludf.DUMMYFUNCTION("""COMPUTED_VALUE"""),45293)</f>
        <v>45293</v>
      </c>
      <c r="I115" s="1" t="str">
        <f ca="1">IFERROR(__xludf.DUMMYFUNCTION("""COMPUTED_VALUE"""),"OBD Logistics")</f>
        <v>OBD Logistics</v>
      </c>
      <c r="J115" s="1" t="str">
        <f ca="1">IFERROR(__xludf.DUMMYFUNCTION("""COMPUTED_VALUE"""),"Air")</f>
        <v>Air</v>
      </c>
      <c r="K115" s="1" t="str">
        <f ca="1">IFERROR(__xludf.DUMMYFUNCTION("""COMPUTED_VALUE"""),"EMIRATES")</f>
        <v>EMIRATES</v>
      </c>
      <c r="L115" s="1"/>
      <c r="M115" s="1" t="str">
        <f ca="1">IFERROR(__xludf.DUMMYFUNCTION("""COMPUTED_VALUE"""),"17696233771")</f>
        <v>17696233771</v>
      </c>
      <c r="N115" s="1"/>
      <c r="O115" s="1" t="str">
        <f ca="1">IFERROR(__xludf.DUMMYFUNCTION("""COMPUTED_VALUE"""),"Express Bill of Lading")</f>
        <v>Express Bill of Lading</v>
      </c>
      <c r="P115" s="1"/>
      <c r="Q115" s="1"/>
      <c r="R115" s="1" t="str">
        <f ca="1">IFERROR(__xludf.DUMMYFUNCTION("""COMPUTED_VALUE"""),"Menzies International")</f>
        <v>Menzies International</v>
      </c>
      <c r="S115" s="1" t="str">
        <f ca="1">IFERROR(__xludf.DUMMYFUNCTION("""COMPUTED_VALUE"""),"Greens Transport")</f>
        <v>Greens Transport</v>
      </c>
      <c r="T115" s="1" t="str">
        <f ca="1">IFERROR(__xludf.DUMMYFUNCTION("""COMPUTED_VALUE"""),"GREEN JARA")</f>
        <v>GREEN JARA</v>
      </c>
      <c r="U115" s="1"/>
      <c r="V115" s="1" t="str">
        <f ca="1">IFERROR(__xludf.DUMMYFUNCTION("""COMPUTED_VALUE"""),"JV14RRGP")</f>
        <v>JV14RRGP</v>
      </c>
      <c r="W115" s="1"/>
      <c r="X115" s="1"/>
      <c r="Y115" s="1"/>
      <c r="Z115" s="1"/>
    </row>
    <row r="116" spans="1:26" x14ac:dyDescent="0.3">
      <c r="A116" s="1" t="str">
        <f ca="1">IFERROR(__xludf.DUMMYFUNCTION("""COMPUTED_VALUE"""),"DL91")</f>
        <v>DL91</v>
      </c>
      <c r="B116" s="1" t="str">
        <f ca="1">IFERROR(__xludf.DUMMYFUNCTION("""COMPUTED_VALUE"""),"Geleza Tech")</f>
        <v>Geleza Tech</v>
      </c>
      <c r="C116" s="1" t="str">
        <f ca="1">IFERROR(__xludf.DUMMYFUNCTION("""COMPUTED_VALUE"""),"Delivered")</f>
        <v>Delivered</v>
      </c>
      <c r="D116" s="3">
        <f ca="1">IFERROR(__xludf.DUMMYFUNCTION("""COMPUTED_VALUE"""),45273)</f>
        <v>45273</v>
      </c>
      <c r="E116" s="1" t="str">
        <f ca="1">IFERROR(__xludf.DUMMYFUNCTION("""COMPUTED_VALUE"""),"Hong Kong")</f>
        <v>Hong Kong</v>
      </c>
      <c r="F116" s="1" t="str">
        <f ca="1">IFERROR(__xludf.DUMMYFUNCTION("""COMPUTED_VALUE"""),"OR TAMBO")</f>
        <v>OR TAMBO</v>
      </c>
      <c r="G116" s="3">
        <f ca="1">IFERROR(__xludf.DUMMYFUNCTION("""COMPUTED_VALUE"""),45289)</f>
        <v>45289</v>
      </c>
      <c r="H116" s="3">
        <f ca="1">IFERROR(__xludf.DUMMYFUNCTION("""COMPUTED_VALUE"""),45295)</f>
        <v>45295</v>
      </c>
      <c r="I116" s="1" t="str">
        <f ca="1">IFERROR(__xludf.DUMMYFUNCTION("""COMPUTED_VALUE"""),"OBD Logistics")</f>
        <v>OBD Logistics</v>
      </c>
      <c r="J116" s="1" t="str">
        <f ca="1">IFERROR(__xludf.DUMMYFUNCTION("""COMPUTED_VALUE"""),"Air")</f>
        <v>Air</v>
      </c>
      <c r="K116" s="1" t="str">
        <f ca="1">IFERROR(__xludf.DUMMYFUNCTION("""COMPUTED_VALUE"""),"Emirates")</f>
        <v>Emirates</v>
      </c>
      <c r="L116" s="1" t="str">
        <f ca="1">IFERROR(__xludf.DUMMYFUNCTION("""COMPUTED_VALUE"""),"EK9747")</f>
        <v>EK9747</v>
      </c>
      <c r="M116" s="1" t="str">
        <f ca="1">IFERROR(__xludf.DUMMYFUNCTION("""COMPUTED_VALUE"""),"176-96233771")</f>
        <v>176-96233771</v>
      </c>
      <c r="N116" s="1" t="str">
        <f ca="1">IFERROR(__xludf.DUMMYFUNCTION("""COMPUTED_VALUE"""),"176-96233771")</f>
        <v>176-96233771</v>
      </c>
      <c r="O116" s="1" t="str">
        <f ca="1">IFERROR(__xludf.DUMMYFUNCTION("""COMPUTED_VALUE"""),"Express Bill of Lading")</f>
        <v>Express Bill of Lading</v>
      </c>
      <c r="P116" s="1" t="str">
        <f ca="1">IFERROR(__xludf.DUMMYFUNCTION("""COMPUTED_VALUE"""),"176-96233771")</f>
        <v>176-96233771</v>
      </c>
      <c r="Q116" s="1" t="str">
        <f ca="1">IFERROR(__xludf.DUMMYFUNCTION("""COMPUTED_VALUE"""),"NA")</f>
        <v>NA</v>
      </c>
      <c r="R116" s="1" t="str">
        <f ca="1">IFERROR(__xludf.DUMMYFUNCTION("""COMPUTED_VALUE"""),"WORLD FLIGHT SERVICES")</f>
        <v>WORLD FLIGHT SERVICES</v>
      </c>
      <c r="S116" s="1" t="str">
        <f ca="1">IFERROR(__xludf.DUMMYFUNCTION("""COMPUTED_VALUE"""),"Asia Direct")</f>
        <v>Asia Direct</v>
      </c>
      <c r="T116" s="1"/>
      <c r="U116" s="1"/>
      <c r="V116" s="1"/>
      <c r="W116" s="1"/>
      <c r="X116" s="1"/>
      <c r="Y116" s="1"/>
      <c r="Z116" s="1"/>
    </row>
    <row r="117" spans="1:26" x14ac:dyDescent="0.3">
      <c r="A117" s="1" t="str">
        <f ca="1">IFERROR(__xludf.DUMMYFUNCTION("""COMPUTED_VALUE"""),"DL92")</f>
        <v>DL92</v>
      </c>
      <c r="B117" s="1" t="str">
        <f ca="1">IFERROR(__xludf.DUMMYFUNCTION("""COMPUTED_VALUE"""),"Brent Badenhorst")</f>
        <v>Brent Badenhorst</v>
      </c>
      <c r="C117" s="1" t="str">
        <f ca="1">IFERROR(__xludf.DUMMYFUNCTION("""COMPUTED_VALUE"""),"Delivered")</f>
        <v>Delivered</v>
      </c>
      <c r="D117" s="3">
        <f ca="1">IFERROR(__xludf.DUMMYFUNCTION("""COMPUTED_VALUE"""),45294)</f>
        <v>45294</v>
      </c>
      <c r="E117" s="1" t="str">
        <f ca="1">IFERROR(__xludf.DUMMYFUNCTION("""COMPUTED_VALUE"""),"Shenzhen")</f>
        <v>Shenzhen</v>
      </c>
      <c r="F117" s="1" t="str">
        <f ca="1">IFERROR(__xludf.DUMMYFUNCTION("""COMPUTED_VALUE"""),"DURBAN")</f>
        <v>DURBAN</v>
      </c>
      <c r="G117" s="3">
        <f ca="1">IFERROR(__xludf.DUMMYFUNCTION("""COMPUTED_VALUE"""),45330)</f>
        <v>45330</v>
      </c>
      <c r="H117" s="3">
        <f ca="1">IFERROR(__xludf.DUMMYFUNCTION("""COMPUTED_VALUE"""),45334)</f>
        <v>45334</v>
      </c>
      <c r="I117" s="1" t="str">
        <f ca="1">IFERROR(__xludf.DUMMYFUNCTION("""COMPUTED_VALUE"""),"Shenzhen Nimbus")</f>
        <v>Shenzhen Nimbus</v>
      </c>
      <c r="J117" s="1" t="str">
        <f ca="1">IFERROR(__xludf.DUMMYFUNCTION("""COMPUTED_VALUE"""),"Sea")</f>
        <v>Sea</v>
      </c>
      <c r="K117" s="1" t="str">
        <f ca="1">IFERROR(__xludf.DUMMYFUNCTION("""COMPUTED_VALUE"""),"20796777")</f>
        <v>20796777</v>
      </c>
      <c r="L117" s="1" t="str">
        <f ca="1">IFERROR(__xludf.DUMMYFUNCTION("""COMPUTED_VALUE"""),"BEAR MOUNTAIN BRIDGE")</f>
        <v>BEAR MOUNTAIN BRIDGE</v>
      </c>
      <c r="M117" s="1" t="str">
        <f ca="1">IFERROR(__xludf.DUMMYFUNCTION("""COMPUTED_VALUE"""),"ONEYSZPDV3642500")</f>
        <v>ONEYSZPDV3642500</v>
      </c>
      <c r="N117" s="1" t="str">
        <f ca="1">IFERROR(__xludf.DUMMYFUNCTION("""COMPUTED_VALUE"""),"SJHB23121937")</f>
        <v>SJHB23121937</v>
      </c>
      <c r="O117" s="1" t="str">
        <f ca="1">IFERROR(__xludf.DUMMYFUNCTION("""COMPUTED_VALUE"""),"Express Bill of Lading")</f>
        <v>Express Bill of Lading</v>
      </c>
      <c r="P117" s="1" t="str">
        <f ca="1">IFERROR(__xludf.DUMMYFUNCTION("""COMPUTED_VALUE"""),"TTNU-8437227")</f>
        <v>TTNU-8437227</v>
      </c>
      <c r="Q117" s="1" t="str">
        <f ca="1">IFERROR(__xludf.DUMMYFUNCTION("""COMPUTED_VALUE"""),"CNB506309")</f>
        <v>CNB506309</v>
      </c>
      <c r="R117" s="1" t="str">
        <f ca="1">IFERROR(__xludf.DUMMYFUNCTION("""COMPUTED_VALUE"""),"Afristar")</f>
        <v>Afristar</v>
      </c>
      <c r="S117" s="1" t="str">
        <f ca="1">IFERROR(__xludf.DUMMYFUNCTION("""COMPUTED_VALUE"""),"Greens Transport")</f>
        <v>Greens Transport</v>
      </c>
      <c r="T117" s="1" t="str">
        <f ca="1">IFERROR(__xludf.DUMMYFUNCTION("""COMPUTED_VALUE"""),"Hassan Green Jara")</f>
        <v>Hassan Green Jara</v>
      </c>
      <c r="U117" s="1" t="str">
        <f ca="1">IFERROR(__xludf.DUMMYFUNCTION("""COMPUTED_VALUE"""),"97512 DK")</f>
        <v>97512 DK</v>
      </c>
      <c r="V117" s="1" t="str">
        <f ca="1">IFERROR(__xludf.DUMMYFUNCTION("""COMPUTED_VALUE"""),"JV 14 RR GP")</f>
        <v>JV 14 RR GP</v>
      </c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 t="str">
        <f ca="1">IFERROR(__xludf.DUMMYFUNCTION("""COMPUTED_VALUE"""),"DL93")</f>
        <v>DL93</v>
      </c>
      <c r="B120" s="1" t="str">
        <f ca="1">IFERROR(__xludf.DUMMYFUNCTION("""COMPUTED_VALUE"""),"Sithembe Procuments")</f>
        <v>Sithembe Procuments</v>
      </c>
      <c r="C120" s="1" t="str">
        <f ca="1">IFERROR(__xludf.DUMMYFUNCTION("""COMPUTED_VALUE"""),"Delivered")</f>
        <v>Delivered</v>
      </c>
      <c r="D120" s="3">
        <f ca="1">IFERROR(__xludf.DUMMYFUNCTION("""COMPUTED_VALUE"""),45266)</f>
        <v>45266</v>
      </c>
      <c r="E120" s="1" t="str">
        <f ca="1">IFERROR(__xludf.DUMMYFUNCTION("""COMPUTED_VALUE"""),"BEIJINGDAXING")</f>
        <v>BEIJINGDAXING</v>
      </c>
      <c r="F120" s="1" t="str">
        <f ca="1">IFERROR(__xludf.DUMMYFUNCTION("""COMPUTED_VALUE"""),"Johannesburg")</f>
        <v>Johannesburg</v>
      </c>
      <c r="G120" s="3">
        <f ca="1">IFERROR(__xludf.DUMMYFUNCTION("""COMPUTED_VALUE"""),45284)</f>
        <v>45284</v>
      </c>
      <c r="H120" s="3">
        <f ca="1">IFERROR(__xludf.DUMMYFUNCTION("""COMPUTED_VALUE"""),45284)</f>
        <v>45284</v>
      </c>
      <c r="I120" s="1"/>
      <c r="J120" s="1" t="str">
        <f ca="1">IFERROR(__xludf.DUMMYFUNCTION("""COMPUTED_VALUE"""),"Air")</f>
        <v>Air</v>
      </c>
      <c r="K120" s="1" t="str">
        <f ca="1">IFERROR(__xludf.DUMMYFUNCTION("""COMPUTED_VALUE"""),"SV")</f>
        <v>SV</v>
      </c>
      <c r="L120" s="1" t="str">
        <f ca="1">IFERROR(__xludf.DUMMYFUNCTION("""COMPUTED_VALUE"""),"SAUDI ARABIAN AIRLINES")</f>
        <v>SAUDI ARABIAN AIRLINES</v>
      </c>
      <c r="M120" s="1" t="str">
        <f ca="1">IFERROR(__xludf.DUMMYFUNCTION("""COMPUTED_VALUE"""),"065-45280841")</f>
        <v>065-45280841</v>
      </c>
      <c r="N120" s="1" t="str">
        <f ca="1">IFERROR(__xludf.DUMMYFUNCTION("""COMPUTED_VALUE"""),"065-45280841")</f>
        <v>065-45280841</v>
      </c>
      <c r="O120" s="1" t="str">
        <f ca="1">IFERROR(__xludf.DUMMYFUNCTION("""COMPUTED_VALUE"""),"Express Bill of Lading")</f>
        <v>Express Bill of Lading</v>
      </c>
      <c r="P120" s="1" t="str">
        <f ca="1">IFERROR(__xludf.DUMMYFUNCTION("""COMPUTED_VALUE"""),"065-45280841")</f>
        <v>065-45280841</v>
      </c>
      <c r="Q120" s="1"/>
      <c r="R120" s="1" t="str">
        <f ca="1">IFERROR(__xludf.DUMMYFUNCTION("""COMPUTED_VALUE"""),"Menzies International")</f>
        <v>Menzies International</v>
      </c>
      <c r="S120" s="1" t="str">
        <f ca="1">IFERROR(__xludf.DUMMYFUNCTION("""COMPUTED_VALUE"""),"Greens Transport")</f>
        <v>Greens Transport</v>
      </c>
      <c r="T120" s="1" t="str">
        <f ca="1">IFERROR(__xludf.DUMMYFUNCTION("""COMPUTED_VALUE"""),"Green Hassan Jara")</f>
        <v>Green Hassan Jara</v>
      </c>
      <c r="U120" s="1" t="str">
        <f ca="1">IFERROR(__xludf.DUMMYFUNCTION("""COMPUTED_VALUE"""),"97512-DK")</f>
        <v>97512-DK</v>
      </c>
      <c r="V120" s="1" t="str">
        <f ca="1">IFERROR(__xludf.DUMMYFUNCTION("""COMPUTED_VALUE"""),"JV14RRGP")</f>
        <v>JV14RRGP</v>
      </c>
      <c r="W120" s="1"/>
      <c r="X120" s="1"/>
      <c r="Y120" s="1"/>
      <c r="Z120" s="1"/>
    </row>
    <row r="121" spans="1:26" x14ac:dyDescent="0.3">
      <c r="A121" s="1" t="str">
        <f ca="1">IFERROR(__xludf.DUMMYFUNCTION("""COMPUTED_VALUE"""),"DL96")</f>
        <v>DL96</v>
      </c>
      <c r="B121" s="1" t="str">
        <f ca="1">IFERROR(__xludf.DUMMYFUNCTION("""COMPUTED_VALUE"""),"TOP TECH CATERING")</f>
        <v>TOP TECH CATERING</v>
      </c>
      <c r="C121" s="1" t="str">
        <f ca="1">IFERROR(__xludf.DUMMYFUNCTION("""COMPUTED_VALUE"""),"Delivered")</f>
        <v>Delivered</v>
      </c>
      <c r="D121" s="3">
        <f ca="1">IFERROR(__xludf.DUMMYFUNCTION("""COMPUTED_VALUE"""),45310)</f>
        <v>45310</v>
      </c>
      <c r="E121" s="1" t="str">
        <f ca="1">IFERROR(__xludf.DUMMYFUNCTION("""COMPUTED_VALUE"""),"Nansha")</f>
        <v>Nansha</v>
      </c>
      <c r="F121" s="1" t="str">
        <f ca="1">IFERROR(__xludf.DUMMYFUNCTION("""COMPUTED_VALUE"""),"DURBAN")</f>
        <v>DURBAN</v>
      </c>
      <c r="G121" s="3">
        <f ca="1">IFERROR(__xludf.DUMMYFUNCTION("""COMPUTED_VALUE"""),45378)</f>
        <v>45378</v>
      </c>
      <c r="H121" s="3">
        <f ca="1">IFERROR(__xludf.DUMMYFUNCTION("""COMPUTED_VALUE"""),45378)</f>
        <v>45378</v>
      </c>
      <c r="I121" s="1" t="str">
        <f ca="1">IFERROR(__xludf.DUMMYFUNCTION("""COMPUTED_VALUE"""),"Shenzhen Nimbus")</f>
        <v>Shenzhen Nimbus</v>
      </c>
      <c r="J121" s="1" t="str">
        <f ca="1">IFERROR(__xludf.DUMMYFUNCTION("""COMPUTED_VALUE"""),"Sea")</f>
        <v>Sea</v>
      </c>
      <c r="K121" s="1" t="str">
        <f ca="1">IFERROR(__xludf.DUMMYFUNCTION("""COMPUTED_VALUE"""),"Mediterranean Shipping Company")</f>
        <v>Mediterranean Shipping Company</v>
      </c>
      <c r="L121" s="1" t="str">
        <f ca="1">IFERROR(__xludf.DUMMYFUNCTION("""COMPUTED_VALUE"""),"MSC WASHINGTON - FY401A----MSC GIOVANNA")</f>
        <v>MSC WASHINGTON - FY401A----MSC GIOVANNA</v>
      </c>
      <c r="M121" s="1" t="str">
        <f ca="1">IFERROR(__xludf.DUMMYFUNCTION("""COMPUTED_VALUE"""),"MEDUQJ687092")</f>
        <v>MEDUQJ687092</v>
      </c>
      <c r="N121" s="1"/>
      <c r="O121" s="1" t="str">
        <f ca="1">IFERROR(__xludf.DUMMYFUNCTION("""COMPUTED_VALUE"""),"Express Bill of Lading")</f>
        <v>Express Bill of Lading</v>
      </c>
      <c r="P121" s="1" t="str">
        <f ca="1">IFERROR(__xludf.DUMMYFUNCTION("""COMPUTED_VALUE"""),"MSMU7183276")</f>
        <v>MSMU7183276</v>
      </c>
      <c r="Q121" s="1" t="str">
        <f ca="1">IFERROR(__xludf.DUMMYFUNCTION("""COMPUTED_VALUE"""),"FJ10337833")</f>
        <v>FJ10337833</v>
      </c>
      <c r="R121" s="1" t="str">
        <f ca="1">IFERROR(__xludf.DUMMYFUNCTION("""COMPUTED_VALUE"""),"MSC")</f>
        <v>MSC</v>
      </c>
      <c r="S121" s="1" t="str">
        <f ca="1">IFERROR(__xludf.DUMMYFUNCTION("""COMPUTED_VALUE"""),"SA Railway")</f>
        <v>SA Railway</v>
      </c>
      <c r="T121" s="1"/>
      <c r="U121" s="1"/>
      <c r="V121" s="1"/>
      <c r="W121" s="1"/>
      <c r="X121" s="1" t="str">
        <f ca="1">IFERROR(__xludf.DUMMYFUNCTION("""COMPUTED_VALUE"""),"21/02/24")</f>
        <v>21/02/24</v>
      </c>
      <c r="Y121" s="1"/>
      <c r="Z121" s="1"/>
    </row>
    <row r="122" spans="1:26" x14ac:dyDescent="0.3">
      <c r="A122" s="1" t="str">
        <f ca="1">IFERROR(__xludf.DUMMYFUNCTION("""COMPUTED_VALUE"""),"DL95")</f>
        <v>DL95</v>
      </c>
      <c r="B122" s="1" t="str">
        <f ca="1">IFERROR(__xludf.DUMMYFUNCTION("""COMPUTED_VALUE"""),"TOP TECH CATERING")</f>
        <v>TOP TECH CATERING</v>
      </c>
      <c r="C122" s="1" t="str">
        <f ca="1">IFERROR(__xludf.DUMMYFUNCTION("""COMPUTED_VALUE"""),"Delivered")</f>
        <v>Delivered</v>
      </c>
      <c r="D122" s="3">
        <f ca="1">IFERROR(__xludf.DUMMYFUNCTION("""COMPUTED_VALUE"""),45274)</f>
        <v>45274</v>
      </c>
      <c r="E122" s="1" t="str">
        <f ca="1">IFERROR(__xludf.DUMMYFUNCTION("""COMPUTED_VALUE"""),"SHEKOU,CHINA")</f>
        <v>SHEKOU,CHINA</v>
      </c>
      <c r="F122" s="1" t="str">
        <f ca="1">IFERROR(__xludf.DUMMYFUNCTION("""COMPUTED_VALUE"""),"DURBAN , SOUTH AFRICA")</f>
        <v>DURBAN , SOUTH AFRICA</v>
      </c>
      <c r="G122" s="3">
        <f ca="1">IFERROR(__xludf.DUMMYFUNCTION("""COMPUTED_VALUE"""),45308)</f>
        <v>45308</v>
      </c>
      <c r="H122" s="3">
        <f ca="1">IFERROR(__xludf.DUMMYFUNCTION("""COMPUTED_VALUE"""),45320)</f>
        <v>45320</v>
      </c>
      <c r="I122" s="1" t="str">
        <f ca="1">IFERROR(__xludf.DUMMYFUNCTION("""COMPUTED_VALUE"""),"OBD Logistics")</f>
        <v>OBD Logistics</v>
      </c>
      <c r="J122" s="1" t="str">
        <f ca="1">IFERROR(__xludf.DUMMYFUNCTION("""COMPUTED_VALUE"""),"Sea")</f>
        <v>Sea</v>
      </c>
      <c r="K122" s="1" t="str">
        <f ca="1">IFERROR(__xludf.DUMMYFUNCTION("""COMPUTED_VALUE"""),"OOCL")</f>
        <v>OOCL</v>
      </c>
      <c r="L122" s="1" t="str">
        <f ca="1">IFERROR(__xludf.DUMMYFUNCTION("""COMPUTED_VALUE"""),"COSCO AQABA 075W")</f>
        <v>COSCO AQABA 075W</v>
      </c>
      <c r="M122" s="1" t="str">
        <f ca="1">IFERROR(__xludf.DUMMYFUNCTION("""COMPUTED_VALUE"""),"OOLU2729123936")</f>
        <v>OOLU2729123936</v>
      </c>
      <c r="N122" s="1" t="str">
        <f ca="1">IFERROR(__xludf.DUMMYFUNCTION("""COMPUTED_VALUE"""),"OOLU2729123936")</f>
        <v>OOLU2729123936</v>
      </c>
      <c r="O122" s="1" t="str">
        <f ca="1">IFERROR(__xludf.DUMMYFUNCTION("""COMPUTED_VALUE"""),"Express Bill of Lading")</f>
        <v>Express Bill of Lading</v>
      </c>
      <c r="P122" s="1" t="str">
        <f ca="1">IFERROR(__xludf.DUMMYFUNCTION("""COMPUTED_VALUE"""),"OOLU8922427")</f>
        <v>OOLU8922427</v>
      </c>
      <c r="Q122" s="1" t="str">
        <f ca="1">IFERROR(__xludf.DUMMYFUNCTION("""COMPUTED_VALUE"""),"OOLHRB6244")</f>
        <v>OOLHRB6244</v>
      </c>
      <c r="R122" s="1" t="str">
        <f ca="1">IFERROR(__xludf.DUMMYFUNCTION("""COMPUTED_VALUE"""),"COSCO")</f>
        <v>COSCO</v>
      </c>
      <c r="S122" s="1" t="str">
        <f ca="1">IFERROR(__xludf.DUMMYFUNCTION("""COMPUTED_VALUE"""),"Decade Trucking")</f>
        <v>Decade Trucking</v>
      </c>
      <c r="T122" s="1"/>
      <c r="U122" s="1"/>
      <c r="V122" s="1"/>
      <c r="W122" s="1"/>
      <c r="X122" s="1"/>
      <c r="Y122" s="1"/>
      <c r="Z122" s="1"/>
    </row>
    <row r="123" spans="1:26" x14ac:dyDescent="0.3">
      <c r="A123" s="1" t="str">
        <f ca="1">IFERROR(__xludf.DUMMYFUNCTION("""COMPUTED_VALUE"""),"DL94")</f>
        <v>DL94</v>
      </c>
      <c r="B123" s="1" t="str">
        <f ca="1">IFERROR(__xludf.DUMMYFUNCTION("""COMPUTED_VALUE"""),"TOP TECH CATERING")</f>
        <v>TOP TECH CATERING</v>
      </c>
      <c r="C123" s="1" t="str">
        <f ca="1">IFERROR(__xludf.DUMMYFUNCTION("""COMPUTED_VALUE"""),"Delivered")</f>
        <v>Delivered</v>
      </c>
      <c r="D123" s="3">
        <f ca="1">IFERROR(__xludf.DUMMYFUNCTION("""COMPUTED_VALUE"""),45274)</f>
        <v>45274</v>
      </c>
      <c r="E123" s="1" t="str">
        <f ca="1">IFERROR(__xludf.DUMMYFUNCTION("""COMPUTED_VALUE"""),"SHEKOU, CHINA")</f>
        <v>SHEKOU, CHINA</v>
      </c>
      <c r="F123" s="1" t="str">
        <f ca="1">IFERROR(__xludf.DUMMYFUNCTION("""COMPUTED_VALUE"""),"Durban")</f>
        <v>Durban</v>
      </c>
      <c r="G123" s="3">
        <f ca="1">IFERROR(__xludf.DUMMYFUNCTION("""COMPUTED_VALUE"""),45308)</f>
        <v>45308</v>
      </c>
      <c r="H123" s="3">
        <f ca="1">IFERROR(__xludf.DUMMYFUNCTION("""COMPUTED_VALUE"""),45317)</f>
        <v>45317</v>
      </c>
      <c r="I123" s="1" t="str">
        <f ca="1">IFERROR(__xludf.DUMMYFUNCTION("""COMPUTED_VALUE"""),"OBD Logistics")</f>
        <v>OBD Logistics</v>
      </c>
      <c r="J123" s="1" t="str">
        <f ca="1">IFERROR(__xludf.DUMMYFUNCTION("""COMPUTED_VALUE"""),"Sea")</f>
        <v>Sea</v>
      </c>
      <c r="K123" s="1" t="str">
        <f ca="1">IFERROR(__xludf.DUMMYFUNCTION("""COMPUTED_VALUE"""),"OOCL")</f>
        <v>OOCL</v>
      </c>
      <c r="L123" s="1" t="str">
        <f ca="1">IFERROR(__xludf.DUMMYFUNCTION("""COMPUTED_VALUE"""),"COSCO AQABA 075W")</f>
        <v>COSCO AQABA 075W</v>
      </c>
      <c r="M123" s="1" t="str">
        <f ca="1">IFERROR(__xludf.DUMMYFUNCTION("""COMPUTED_VALUE"""),"OOLU2729123935")</f>
        <v>OOLU2729123935</v>
      </c>
      <c r="N123" s="1"/>
      <c r="O123" s="1" t="str">
        <f ca="1">IFERROR(__xludf.DUMMYFUNCTION("""COMPUTED_VALUE"""),"Express Bill of Lading")</f>
        <v>Express Bill of Lading</v>
      </c>
      <c r="P123" s="1" t="str">
        <f ca="1">IFERROR(__xludf.DUMMYFUNCTION("""COMPUTED_VALUE"""),"CSNU6325699")</f>
        <v>CSNU6325699</v>
      </c>
      <c r="Q123" s="1" t="str">
        <f ca="1">IFERROR(__xludf.DUMMYFUNCTION("""COMPUTED_VALUE"""),"OOLJAZ9378")</f>
        <v>OOLJAZ9378</v>
      </c>
      <c r="R123" s="1" t="str">
        <f ca="1">IFERROR(__xludf.DUMMYFUNCTION("""COMPUTED_VALUE"""),"COSCO")</f>
        <v>COSCO</v>
      </c>
      <c r="S123" s="1" t="str">
        <f ca="1">IFERROR(__xludf.DUMMYFUNCTION("""COMPUTED_VALUE"""),"Decade Logistics")</f>
        <v>Decade Logistics</v>
      </c>
      <c r="T123" s="1"/>
      <c r="U123" s="1"/>
      <c r="V123" s="1"/>
      <c r="W123" s="1"/>
      <c r="X123" s="1"/>
      <c r="Y123" s="1"/>
      <c r="Z123" s="1"/>
    </row>
    <row r="124" spans="1:26" x14ac:dyDescent="0.3">
      <c r="A124" s="1" t="str">
        <f ca="1">IFERROR(__xludf.DUMMYFUNCTION("""COMPUTED_VALUE"""),"DL97")</f>
        <v>DL97</v>
      </c>
      <c r="B124" s="1" t="str">
        <f ca="1">IFERROR(__xludf.DUMMYFUNCTION("""COMPUTED_VALUE"""),"African Technopreneurs")</f>
        <v>African Technopreneurs</v>
      </c>
      <c r="C124" s="1" t="str">
        <f ca="1">IFERROR(__xludf.DUMMYFUNCTION("""COMPUTED_VALUE"""),"Delivered")</f>
        <v>Delivered</v>
      </c>
      <c r="D124" s="3">
        <f ca="1">IFERROR(__xludf.DUMMYFUNCTION("""COMPUTED_VALUE"""),45263)</f>
        <v>45263</v>
      </c>
      <c r="E124" s="1" t="str">
        <f ca="1">IFERROR(__xludf.DUMMYFUNCTION("""COMPUTED_VALUE"""),"Any nearest port")</f>
        <v>Any nearest port</v>
      </c>
      <c r="F124" s="1" t="str">
        <f ca="1">IFERROR(__xludf.DUMMYFUNCTION("""COMPUTED_VALUE"""),"Durban")</f>
        <v>Durban</v>
      </c>
      <c r="G124" s="3">
        <f ca="1">IFERROR(__xludf.DUMMYFUNCTION("""COMPUTED_VALUE"""),45330)</f>
        <v>45330</v>
      </c>
      <c r="H124" s="3">
        <f ca="1">IFERROR(__xludf.DUMMYFUNCTION("""COMPUTED_VALUE"""),45331)</f>
        <v>45331</v>
      </c>
      <c r="I124" s="1" t="str">
        <f ca="1">IFERROR(__xludf.DUMMYFUNCTION("""COMPUTED_VALUE"""),"Shenzhen Nimbus")</f>
        <v>Shenzhen Nimbus</v>
      </c>
      <c r="J124" s="1" t="str">
        <f ca="1">IFERROR(__xludf.DUMMYFUNCTION("""COMPUTED_VALUE"""),"Sea")</f>
        <v>Sea</v>
      </c>
      <c r="K124" s="1" t="str">
        <f ca="1">IFERROR(__xludf.DUMMYFUNCTION("""COMPUTED_VALUE"""),"20796777")</f>
        <v>20796777</v>
      </c>
      <c r="L124" s="1" t="str">
        <f ca="1">IFERROR(__xludf.DUMMYFUNCTION("""COMPUTED_VALUE"""),"Bear Mountain Bridge 118w")</f>
        <v>Bear Mountain Bridge 118w</v>
      </c>
      <c r="M124" s="1" t="str">
        <f ca="1">IFERROR(__xludf.DUMMYFUNCTION("""COMPUTED_VALUE"""),"ONEYSZPDV3642500")</f>
        <v>ONEYSZPDV3642500</v>
      </c>
      <c r="N124" s="1" t="str">
        <f ca="1">IFERROR(__xludf.DUMMYFUNCTION("""COMPUTED_VALUE"""),"SJHB23121937")</f>
        <v>SJHB23121937</v>
      </c>
      <c r="O124" s="1" t="str">
        <f ca="1">IFERROR(__xludf.DUMMYFUNCTION("""COMPUTED_VALUE"""),"Express Bill of Lading")</f>
        <v>Express Bill of Lading</v>
      </c>
      <c r="P124" s="1" t="str">
        <f ca="1">IFERROR(__xludf.DUMMYFUNCTION("""COMPUTED_VALUE"""),"TTNU8437227")</f>
        <v>TTNU8437227</v>
      </c>
      <c r="Q124" s="1" t="str">
        <f ca="1">IFERROR(__xludf.DUMMYFUNCTION("""COMPUTED_VALUE"""),"CNB506309")</f>
        <v>CNB506309</v>
      </c>
      <c r="R124" s="1" t="str">
        <f ca="1">IFERROR(__xludf.DUMMYFUNCTION("""COMPUTED_VALUE"""),"Afristar")</f>
        <v>Afristar</v>
      </c>
      <c r="S124" s="1" t="str">
        <f ca="1">IFERROR(__xludf.DUMMYFUNCTION("""COMPUTED_VALUE"""),"Greens Transport")</f>
        <v>Greens Transport</v>
      </c>
      <c r="T124" s="1" t="str">
        <f ca="1">IFERROR(__xludf.DUMMYFUNCTION("""COMPUTED_VALUE"""),"Green Jara")</f>
        <v>Green Jara</v>
      </c>
      <c r="U124" s="1" t="str">
        <f ca="1">IFERROR(__xludf.DUMMYFUNCTION("""COMPUTED_VALUE"""),"97512 DK")</f>
        <v>97512 DK</v>
      </c>
      <c r="V124" s="1" t="str">
        <f ca="1">IFERROR(__xludf.DUMMYFUNCTION("""COMPUTED_VALUE"""),"JV 14 RR GP")</f>
        <v>JV 14 RR GP</v>
      </c>
      <c r="W124" s="1" t="str">
        <f ca="1">IFERROR(__xludf.DUMMYFUNCTION("""COMPUTED_VALUE"""),"Shipped on board on the 3rd of January")</f>
        <v>Shipped on board on the 3rd of January</v>
      </c>
      <c r="X124" s="1"/>
      <c r="Y124" s="1"/>
      <c r="Z124" s="4" t="str">
        <f ca="1">IFERROR(__xludf.DUMMYFUNCTION("""COMPUTED_VALUE"""),"#VALUE!")</f>
        <v>#VALUE!</v>
      </c>
    </row>
    <row r="125" spans="1:26" x14ac:dyDescent="0.3">
      <c r="A125" s="1" t="str">
        <f ca="1">IFERROR(__xludf.DUMMYFUNCTION("""COMPUTED_VALUE"""),"DL98")</f>
        <v>DL98</v>
      </c>
      <c r="B125" s="1" t="str">
        <f ca="1">IFERROR(__xludf.DUMMYFUNCTION("""COMPUTED_VALUE"""),"African Technopreneurs")</f>
        <v>African Technopreneurs</v>
      </c>
      <c r="C125" s="1" t="str">
        <f ca="1">IFERROR(__xludf.DUMMYFUNCTION("""COMPUTED_VALUE"""),"Delivered")</f>
        <v>Delivered</v>
      </c>
      <c r="D125" s="3">
        <f ca="1">IFERROR(__xludf.DUMMYFUNCTION("""COMPUTED_VALUE"""),45274)</f>
        <v>45274</v>
      </c>
      <c r="E125" s="1" t="str">
        <f ca="1">IFERROR(__xludf.DUMMYFUNCTION("""COMPUTED_VALUE"""),"Hong Kong")</f>
        <v>Hong Kong</v>
      </c>
      <c r="F125" s="1" t="str">
        <f ca="1">IFERROR(__xludf.DUMMYFUNCTION("""COMPUTED_VALUE"""),"Johannesburg")</f>
        <v>Johannesburg</v>
      </c>
      <c r="G125" s="3">
        <f ca="1">IFERROR(__xludf.DUMMYFUNCTION("""COMPUTED_VALUE"""),45309)</f>
        <v>45309</v>
      </c>
      <c r="H125" s="3">
        <f ca="1">IFERROR(__xludf.DUMMYFUNCTION("""COMPUTED_VALUE"""),45278)</f>
        <v>45278</v>
      </c>
      <c r="I125" s="1" t="str">
        <f ca="1">IFERROR(__xludf.DUMMYFUNCTION("""COMPUTED_VALUE"""),"Shenzhen Nimbus")</f>
        <v>Shenzhen Nimbus</v>
      </c>
      <c r="J125" s="1" t="str">
        <f ca="1">IFERROR(__xludf.DUMMYFUNCTION("""COMPUTED_VALUE"""),"Air")</f>
        <v>Air</v>
      </c>
      <c r="K125" s="1" t="str">
        <f ca="1">IFERROR(__xludf.DUMMYFUNCTION("""COMPUTED_VALUE"""),"QR")</f>
        <v>QR</v>
      </c>
      <c r="L125" s="1" t="str">
        <f ca="1">IFERROR(__xludf.DUMMYFUNCTION("""COMPUTED_VALUE"""),"Qatar Airways")</f>
        <v>Qatar Airways</v>
      </c>
      <c r="M125" s="1" t="str">
        <f ca="1">IFERROR(__xludf.DUMMYFUNCTION("""COMPUTED_VALUE"""),"15789232076")</f>
        <v>15789232076</v>
      </c>
      <c r="N125" s="1" t="str">
        <f ca="1">IFERROR(__xludf.DUMMYFUNCTION("""COMPUTED_VALUE"""),"15789232076")</f>
        <v>15789232076</v>
      </c>
      <c r="O125" s="1" t="str">
        <f ca="1">IFERROR(__xludf.DUMMYFUNCTION("""COMPUTED_VALUE"""),"Express Bill of Lading")</f>
        <v>Express Bill of Lading</v>
      </c>
      <c r="P125" s="1" t="str">
        <f ca="1">IFERROR(__xludf.DUMMYFUNCTION("""COMPUTED_VALUE"""),"15789232076")</f>
        <v>15789232076</v>
      </c>
      <c r="Q125" s="1"/>
      <c r="R125" s="1" t="str">
        <f ca="1">IFERROR(__xludf.DUMMYFUNCTION("""COMPUTED_VALUE"""),"Swissport")</f>
        <v>Swissport</v>
      </c>
      <c r="S125" s="1" t="str">
        <f ca="1">IFERROR(__xludf.DUMMYFUNCTION("""COMPUTED_VALUE"""),"Greens Transport")</f>
        <v>Greens Transport</v>
      </c>
      <c r="T125" s="1" t="str">
        <f ca="1">IFERROR(__xludf.DUMMYFUNCTION("""COMPUTED_VALUE"""),"Hassan Green Jara")</f>
        <v>Hassan Green Jara</v>
      </c>
      <c r="U125" s="1" t="str">
        <f ca="1">IFERROR(__xludf.DUMMYFUNCTION("""COMPUTED_VALUE"""),"97512 DK")</f>
        <v>97512 DK</v>
      </c>
      <c r="V125" s="1" t="str">
        <f ca="1">IFERROR(__xludf.DUMMYFUNCTION("""COMPUTED_VALUE"""),"LH 56 ZS GP")</f>
        <v>LH 56 ZS GP</v>
      </c>
      <c r="W125" s="1"/>
      <c r="X125" s="1"/>
      <c r="Y125" s="1"/>
      <c r="Z125" s="4" t="str">
        <f ca="1">IFERROR(__xludf.DUMMYFUNCTION("""COMPUTED_VALUE"""),"#VALUE!")</f>
        <v>#VALUE!</v>
      </c>
    </row>
    <row r="126" spans="1:26" x14ac:dyDescent="0.3">
      <c r="A126" s="1" t="str">
        <f ca="1">IFERROR(__xludf.DUMMYFUNCTION("""COMPUTED_VALUE"""),"DL99")</f>
        <v>DL99</v>
      </c>
      <c r="B126" s="1" t="str">
        <f ca="1">IFERROR(__xludf.DUMMYFUNCTION("""COMPUTED_VALUE"""),"lezahn")</f>
        <v>lezahn</v>
      </c>
      <c r="C126" s="1" t="str">
        <f ca="1">IFERROR(__xludf.DUMMYFUNCTION("""COMPUTED_VALUE"""),"Delivered")</f>
        <v>Delivered</v>
      </c>
      <c r="D126" s="3">
        <f ca="1">IFERROR(__xludf.DUMMYFUNCTION("""COMPUTED_VALUE"""),45280)</f>
        <v>45280</v>
      </c>
      <c r="E126" s="1" t="str">
        <f ca="1">IFERROR(__xludf.DUMMYFUNCTION("""COMPUTED_VALUE"""),"Hong Kong")</f>
        <v>Hong Kong</v>
      </c>
      <c r="F126" s="1" t="str">
        <f ca="1">IFERROR(__xludf.DUMMYFUNCTION("""COMPUTED_VALUE"""),"Johannesburg")</f>
        <v>Johannesburg</v>
      </c>
      <c r="G126" s="3">
        <f ca="1">IFERROR(__xludf.DUMMYFUNCTION("""COMPUTED_VALUE"""),45289)</f>
        <v>45289</v>
      </c>
      <c r="H126" s="3">
        <f ca="1">IFERROR(__xludf.DUMMYFUNCTION("""COMPUTED_VALUE"""),45295)</f>
        <v>45295</v>
      </c>
      <c r="I126" s="1" t="str">
        <f ca="1">IFERROR(__xludf.DUMMYFUNCTION("""COMPUTED_VALUE"""),"OBD Logistics")</f>
        <v>OBD Logistics</v>
      </c>
      <c r="J126" s="1" t="str">
        <f ca="1">IFERROR(__xludf.DUMMYFUNCTION("""COMPUTED_VALUE"""),"Air")</f>
        <v>Air</v>
      </c>
      <c r="K126" s="1" t="str">
        <f ca="1">IFERROR(__xludf.DUMMYFUNCTION("""COMPUTED_VALUE"""),"Emirates")</f>
        <v>Emirates</v>
      </c>
      <c r="L126" s="1"/>
      <c r="M126" s="1" t="str">
        <f ca="1">IFERROR(__xludf.DUMMYFUNCTION("""COMPUTED_VALUE"""),"176-96233771")</f>
        <v>176-96233771</v>
      </c>
      <c r="N126" s="1"/>
      <c r="O126" s="1" t="str">
        <f ca="1">IFERROR(__xludf.DUMMYFUNCTION("""COMPUTED_VALUE"""),"Express Bill of Lading")</f>
        <v>Express Bill of Lading</v>
      </c>
      <c r="P126" s="1"/>
      <c r="Q126" s="1"/>
      <c r="R126" s="1" t="str">
        <f ca="1">IFERROR(__xludf.DUMMYFUNCTION("""COMPUTED_VALUE"""),"WORLD FLIGHT SERVICES")</f>
        <v>WORLD FLIGHT SERVICES</v>
      </c>
      <c r="S126" s="1" t="str">
        <f ca="1">IFERROR(__xludf.DUMMYFUNCTION("""COMPUTED_VALUE"""),"Greens Transport")</f>
        <v>Greens Transport</v>
      </c>
      <c r="T126" s="1"/>
      <c r="U126" s="1"/>
      <c r="V126" s="1"/>
      <c r="W126" s="1" t="str">
        <f ca="1">IFERROR(__xludf.DUMMYFUNCTION("""COMPUTED_VALUE"""),"On the way to Capetown from Joburg")</f>
        <v>On the way to Capetown from Joburg</v>
      </c>
      <c r="X126" s="1" t="str">
        <f ca="1">IFERROR(__xludf.DUMMYFUNCTION("""COMPUTED_VALUE"""),"03/01/23")</f>
        <v>03/01/23</v>
      </c>
      <c r="Y126" s="1"/>
      <c r="Z126" s="4" t="str">
        <f ca="1">IFERROR(__xludf.DUMMYFUNCTION("""COMPUTED_VALUE"""),"#VALUE!")</f>
        <v>#VALUE!</v>
      </c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 t="str">
        <f ca="1">IFERROR(__xludf.DUMMYFUNCTION("""COMPUTED_VALUE"""),"DL101")</f>
        <v>DL101</v>
      </c>
      <c r="B128" s="1" t="str">
        <f ca="1">IFERROR(__xludf.DUMMYFUNCTION("""COMPUTED_VALUE"""),"African Technopreneurs")</f>
        <v>African Technopreneurs</v>
      </c>
      <c r="C128" s="1" t="str">
        <f ca="1">IFERROR(__xludf.DUMMYFUNCTION("""COMPUTED_VALUE"""),"Delivered")</f>
        <v>Delivered</v>
      </c>
      <c r="D128" s="3">
        <f ca="1">IFERROR(__xludf.DUMMYFUNCTION("""COMPUTED_VALUE"""),45300)</f>
        <v>45300</v>
      </c>
      <c r="E128" s="1" t="str">
        <f ca="1">IFERROR(__xludf.DUMMYFUNCTION("""COMPUTED_VALUE"""),"Shenzhen")</f>
        <v>Shenzhen</v>
      </c>
      <c r="F128" s="1" t="str">
        <f ca="1">IFERROR(__xludf.DUMMYFUNCTION("""COMPUTED_VALUE"""),"Or Tambo")</f>
        <v>Or Tambo</v>
      </c>
      <c r="G128" s="3">
        <f ca="1">IFERROR(__xludf.DUMMYFUNCTION("""COMPUTED_VALUE"""),45302)</f>
        <v>45302</v>
      </c>
      <c r="H128" s="3">
        <f ca="1">IFERROR(__xludf.DUMMYFUNCTION("""COMPUTED_VALUE"""),45307)</f>
        <v>45307</v>
      </c>
      <c r="I128" s="1" t="str">
        <f ca="1">IFERROR(__xludf.DUMMYFUNCTION("""COMPUTED_VALUE"""),"Shenzhen Nimbus")</f>
        <v>Shenzhen Nimbus</v>
      </c>
      <c r="J128" s="1" t="str">
        <f ca="1">IFERROR(__xludf.DUMMYFUNCTION("""COMPUTED_VALUE"""),"Air")</f>
        <v>Air</v>
      </c>
      <c r="K128" s="1" t="str">
        <f ca="1">IFERROR(__xludf.DUMMYFUNCTION("""COMPUTED_VALUE"""),"Singapore Airlines")</f>
        <v>Singapore Airlines</v>
      </c>
      <c r="L128" s="1" t="str">
        <f ca="1">IFERROR(__xludf.DUMMYFUNCTION("""COMPUTED_VALUE"""),"SQ478")</f>
        <v>SQ478</v>
      </c>
      <c r="M128" s="1" t="str">
        <f ca="1">IFERROR(__xludf.DUMMYFUNCTION("""COMPUTED_VALUE"""),"61830017035")</f>
        <v>61830017035</v>
      </c>
      <c r="N128" s="1"/>
      <c r="O128" s="1" t="str">
        <f ca="1">IFERROR(__xludf.DUMMYFUNCTION("""COMPUTED_VALUE"""),"Express Bill of Lading")</f>
        <v>Express Bill of Lading</v>
      </c>
      <c r="P128" s="1"/>
      <c r="Q128" s="1"/>
      <c r="R128" s="1" t="str">
        <f ca="1">IFERROR(__xludf.DUMMYFUNCTION("""COMPUTED_VALUE"""),"Swissport")</f>
        <v>Swissport</v>
      </c>
      <c r="S128" s="1" t="str">
        <f ca="1">IFERROR(__xludf.DUMMYFUNCTION("""COMPUTED_VALUE"""),"Greens Transport")</f>
        <v>Greens Transport</v>
      </c>
      <c r="T128" s="1" t="str">
        <f ca="1">IFERROR(__xludf.DUMMYFUNCTION("""COMPUTED_VALUE"""),"GREEN HASSAN JARA")</f>
        <v>GREEN HASSAN JARA</v>
      </c>
      <c r="U128" s="1"/>
      <c r="V128" s="1" t="str">
        <f ca="1">IFERROR(__xludf.DUMMYFUNCTION("""COMPUTED_VALUE"""),"JV14RRGP")</f>
        <v>JV14RRGP</v>
      </c>
      <c r="W128" s="1" t="str">
        <f ca="1">IFERROR(__xludf.DUMMYFUNCTION("""COMPUTED_VALUE"""),"Goods arrived on the 11th")</f>
        <v>Goods arrived on the 11th</v>
      </c>
      <c r="X128" s="1" t="str">
        <f ca="1">IFERROR(__xludf.DUMMYFUNCTION("""COMPUTED_VALUE"""),"15/01/2024..")</f>
        <v>15/01/2024..</v>
      </c>
      <c r="Y128" s="1"/>
      <c r="Z128" s="4" t="str">
        <f ca="1">IFERROR(__xludf.DUMMYFUNCTION("""COMPUTED_VALUE"""),"#VALUE!")</f>
        <v>#VALUE!</v>
      </c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 t="str">
        <f ca="1">IFERROR(__xludf.DUMMYFUNCTION("""COMPUTED_VALUE"""),"DL102")</f>
        <v>DL102</v>
      </c>
      <c r="B130" s="1" t="str">
        <f ca="1">IFERROR(__xludf.DUMMYFUNCTION("""COMPUTED_VALUE"""),"African Technopreneurs")</f>
        <v>African Technopreneurs</v>
      </c>
      <c r="C130" s="1" t="str">
        <f ca="1">IFERROR(__xludf.DUMMYFUNCTION("""COMPUTED_VALUE"""),"Delivered")</f>
        <v>Delivered</v>
      </c>
      <c r="D130" s="3">
        <f ca="1">IFERROR(__xludf.DUMMYFUNCTION("""COMPUTED_VALUE"""),45308)</f>
        <v>45308</v>
      </c>
      <c r="E130" s="1" t="str">
        <f ca="1">IFERROR(__xludf.DUMMYFUNCTION("""COMPUTED_VALUE"""),"Or Tambo")</f>
        <v>Or Tambo</v>
      </c>
      <c r="F130" s="1" t="str">
        <f ca="1">IFERROR(__xludf.DUMMYFUNCTION("""COMPUTED_VALUE"""),"Las Vegas")</f>
        <v>Las Vegas</v>
      </c>
      <c r="G130" s="3">
        <f ca="1">IFERROR(__xludf.DUMMYFUNCTION("""COMPUTED_VALUE"""),45314)</f>
        <v>45314</v>
      </c>
      <c r="H130" s="3">
        <f ca="1">IFERROR(__xludf.DUMMYFUNCTION("""COMPUTED_VALUE"""),45314)</f>
        <v>45314</v>
      </c>
      <c r="I130" s="1" t="str">
        <f ca="1">IFERROR(__xludf.DUMMYFUNCTION("""COMPUTED_VALUE"""),"Fedex")</f>
        <v>Fedex</v>
      </c>
      <c r="J130" s="1" t="str">
        <f ca="1">IFERROR(__xludf.DUMMYFUNCTION("""COMPUTED_VALUE"""),"Air")</f>
        <v>Air</v>
      </c>
      <c r="K130" s="1"/>
      <c r="L130" s="1"/>
      <c r="M130" s="1" t="str">
        <f ca="1">IFERROR(__xludf.DUMMYFUNCTION("""COMPUTED_VALUE"""),"7748 3738 0690")</f>
        <v>7748 3738 0690</v>
      </c>
      <c r="N130" s="1" t="str">
        <f ca="1">IFERROR(__xludf.DUMMYFUNCTION("""COMPUTED_VALUE"""),"7748 3738 0690")</f>
        <v>7748 3738 0690</v>
      </c>
      <c r="O130" s="1" t="str">
        <f ca="1">IFERROR(__xludf.DUMMYFUNCTION("""COMPUTED_VALUE"""),"Express Bill of Lading")</f>
        <v>Express Bill of Lading</v>
      </c>
      <c r="P130" s="1" t="str">
        <f ca="1">IFERROR(__xludf.DUMMYFUNCTION("""COMPUTED_VALUE"""),"7748 3738 0690")</f>
        <v>7748 3738 0690</v>
      </c>
      <c r="Q130" s="1"/>
      <c r="R130" s="1" t="str">
        <f ca="1">IFERROR(__xludf.DUMMYFUNCTION("""COMPUTED_VALUE"""),"Fedex")</f>
        <v>Fedex</v>
      </c>
      <c r="S130" s="1"/>
      <c r="T130" s="1"/>
      <c r="U130" s="1"/>
      <c r="V130" s="1"/>
      <c r="W130" s="1"/>
      <c r="X130" s="1"/>
      <c r="Y130" s="1"/>
      <c r="Z130" s="4" t="str">
        <f ca="1">IFERROR(__xludf.DUMMYFUNCTION("""COMPUTED_VALUE"""),"#VALUE!")</f>
        <v>#VALUE!</v>
      </c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 t="str">
        <f ca="1">IFERROR(__xludf.DUMMYFUNCTION("""COMPUTED_VALUE"""),"DL105")</f>
        <v>DL105</v>
      </c>
      <c r="B132" s="1" t="str">
        <f ca="1">IFERROR(__xludf.DUMMYFUNCTION("""COMPUTED_VALUE"""),"Sithembe Procuments")</f>
        <v>Sithembe Procuments</v>
      </c>
      <c r="C132" s="1" t="str">
        <f ca="1">IFERROR(__xludf.DUMMYFUNCTION("""COMPUTED_VALUE"""),"Delivered")</f>
        <v>Delivered</v>
      </c>
      <c r="D132" s="3">
        <f ca="1">IFERROR(__xludf.DUMMYFUNCTION("""COMPUTED_VALUE"""),45303)</f>
        <v>45303</v>
      </c>
      <c r="E132" s="1" t="str">
        <f ca="1">IFERROR(__xludf.DUMMYFUNCTION("""COMPUTED_VALUE"""),"Warsaw")</f>
        <v>Warsaw</v>
      </c>
      <c r="F132" s="1" t="str">
        <f ca="1">IFERROR(__xludf.DUMMYFUNCTION("""COMPUTED_VALUE"""),"OR Tambo")</f>
        <v>OR Tambo</v>
      </c>
      <c r="G132" s="3">
        <f ca="1">IFERROR(__xludf.DUMMYFUNCTION("""COMPUTED_VALUE"""),45317)</f>
        <v>45317</v>
      </c>
      <c r="H132" s="3">
        <f ca="1">IFERROR(__xludf.DUMMYFUNCTION("""COMPUTED_VALUE"""),45317)</f>
        <v>45317</v>
      </c>
      <c r="I132" s="1" t="str">
        <f ca="1">IFERROR(__xludf.DUMMYFUNCTION("""COMPUTED_VALUE"""),"Fedex")</f>
        <v>Fedex</v>
      </c>
      <c r="J132" s="1" t="str">
        <f ca="1">IFERROR(__xludf.DUMMYFUNCTION("""COMPUTED_VALUE"""),"Air")</f>
        <v>Air</v>
      </c>
      <c r="K132" s="1" t="str">
        <f ca="1">IFERROR(__xludf.DUMMYFUNCTION("""COMPUTED_VALUE"""),"AA591")</f>
        <v>AA591</v>
      </c>
      <c r="L132" s="1" t="str">
        <f ca="1">IFERROR(__xludf.DUMMYFUNCTION("""COMPUTED_VALUE"""),"Fedex")</f>
        <v>Fedex</v>
      </c>
      <c r="M132" s="1" t="str">
        <f ca="1">IFERROR(__xludf.DUMMYFUNCTION("""COMPUTED_VALUE"""),"789201124050")</f>
        <v>789201124050</v>
      </c>
      <c r="N132" s="1" t="str">
        <f ca="1">IFERROR(__xludf.DUMMYFUNCTION("""COMPUTED_VALUE"""),"789201124050")</f>
        <v>789201124050</v>
      </c>
      <c r="O132" s="1" t="str">
        <f ca="1">IFERROR(__xludf.DUMMYFUNCTION("""COMPUTED_VALUE"""),"Express Bill of Lading")</f>
        <v>Express Bill of Lading</v>
      </c>
      <c r="P132" s="1"/>
      <c r="Q132" s="1"/>
      <c r="R132" s="1" t="str">
        <f ca="1">IFERROR(__xludf.DUMMYFUNCTION("""COMPUTED_VALUE"""),"Fedex")</f>
        <v>Fedex</v>
      </c>
      <c r="S132" s="1" t="str">
        <f ca="1">IFERROR(__xludf.DUMMYFUNCTION("""COMPUTED_VALUE"""),"Asia Direct")</f>
        <v>Asia Direct</v>
      </c>
      <c r="T132" s="1" t="str">
        <f ca="1">IFERROR(__xludf.DUMMYFUNCTION("""COMPUTED_VALUE"""),"Oscar")</f>
        <v>Oscar</v>
      </c>
      <c r="U132" s="1"/>
      <c r="V132" s="1" t="str">
        <f ca="1">IFERROR(__xludf.DUMMYFUNCTION("""COMPUTED_VALUE"""),"CAA 31291")</f>
        <v>CAA 31291</v>
      </c>
      <c r="W132" s="1" t="str">
        <f ca="1">IFERROR(__xludf.DUMMYFUNCTION("""COMPUTED_VALUE"""),"The box was delivered at our warehouse")</f>
        <v>The box was delivered at our warehouse</v>
      </c>
      <c r="X132" s="1"/>
      <c r="Y132" s="1"/>
      <c r="Z132" s="4" t="str">
        <f ca="1">IFERROR(__xludf.DUMMYFUNCTION("""COMPUTED_VALUE"""),"#VALUE!")</f>
        <v>#VALUE!</v>
      </c>
    </row>
    <row r="133" spans="1:26" x14ac:dyDescent="0.3">
      <c r="A133" s="1" t="str">
        <f ca="1">IFERROR(__xludf.DUMMYFUNCTION("""COMPUTED_VALUE"""),"DL106")</f>
        <v>DL106</v>
      </c>
      <c r="B133" s="1" t="str">
        <f ca="1">IFERROR(__xludf.DUMMYFUNCTION("""COMPUTED_VALUE"""),"Jimmy Zinhumwe")</f>
        <v>Jimmy Zinhumwe</v>
      </c>
      <c r="C133" s="1" t="str">
        <f ca="1">IFERROR(__xludf.DUMMYFUNCTION("""COMPUTED_VALUE"""),"Delivered")</f>
        <v>Delivered</v>
      </c>
      <c r="D133" s="3">
        <f ca="1">IFERROR(__xludf.DUMMYFUNCTION("""COMPUTED_VALUE"""),45335)</f>
        <v>45335</v>
      </c>
      <c r="E133" s="1" t="str">
        <f ca="1">IFERROR(__xludf.DUMMYFUNCTION("""COMPUTED_VALUE"""),"Shenzhen")</f>
        <v>Shenzhen</v>
      </c>
      <c r="F133" s="1" t="str">
        <f ca="1">IFERROR(__xludf.DUMMYFUNCTION("""COMPUTED_VALUE"""),"Durban")</f>
        <v>Durban</v>
      </c>
      <c r="G133" s="3">
        <f ca="1">IFERROR(__xludf.DUMMYFUNCTION("""COMPUTED_VALUE"""),45392)</f>
        <v>45392</v>
      </c>
      <c r="H133" s="3">
        <f ca="1">IFERROR(__xludf.DUMMYFUNCTION("""COMPUTED_VALUE"""),45361)</f>
        <v>45361</v>
      </c>
      <c r="I133" s="1" t="str">
        <f ca="1">IFERROR(__xludf.DUMMYFUNCTION("""COMPUTED_VALUE"""),"OBD Logistics")</f>
        <v>OBD Logistics</v>
      </c>
      <c r="J133" s="1" t="str">
        <f ca="1">IFERROR(__xludf.DUMMYFUNCTION("""COMPUTED_VALUE"""),"Sea")</f>
        <v>Sea</v>
      </c>
      <c r="K133" s="1" t="str">
        <f ca="1">IFERROR(__xludf.DUMMYFUNCTION("""COMPUTED_VALUE"""),"Ocean Network")</f>
        <v>Ocean Network</v>
      </c>
      <c r="L133" s="1" t="str">
        <f ca="1">IFERROR(__xludf.DUMMYFUNCTION("""COMPUTED_VALUE"""),"EVER UNITED 197W")</f>
        <v>EVER UNITED 197W</v>
      </c>
      <c r="M133" s="1" t="str">
        <f ca="1">IFERROR(__xludf.DUMMYFUNCTION("""COMPUTED_VALUE"""),"ONEYHKGDJ7854800")</f>
        <v>ONEYHKGDJ7854800</v>
      </c>
      <c r="N133" s="1" t="str">
        <f ca="1">IFERROR(__xludf.DUMMYFUNCTION("""COMPUTED_VALUE"""),"LLLJHB24129547")</f>
        <v>LLLJHB24129547</v>
      </c>
      <c r="O133" s="1" t="str">
        <f ca="1">IFERROR(__xludf.DUMMYFUNCTION("""COMPUTED_VALUE"""),"Express Bill of Lading")</f>
        <v>Express Bill of Lading</v>
      </c>
      <c r="P133" s="1" t="str">
        <f ca="1">IFERROR(__xludf.DUMMYFUNCTION("""COMPUTED_VALUE"""),"ONEU-9147010")</f>
        <v>ONEU-9147010</v>
      </c>
      <c r="Q133" s="1" t="str">
        <f ca="1">IFERROR(__xludf.DUMMYFUNCTION("""COMPUTED_VALUE"""),"CNBR63998")</f>
        <v>CNBR63998</v>
      </c>
      <c r="R133" s="1" t="str">
        <f ca="1">IFERROR(__xludf.DUMMYFUNCTION("""COMPUTED_VALUE"""),"Afristar")</f>
        <v>Afristar</v>
      </c>
      <c r="S133" s="1"/>
      <c r="T133" s="1"/>
      <c r="U133" s="1"/>
      <c r="V133" s="1"/>
      <c r="W133" s="1"/>
      <c r="X133" s="1"/>
      <c r="Y133" s="1"/>
      <c r="Z133" s="4" t="str">
        <f ca="1">IFERROR(__xludf.DUMMYFUNCTION("""COMPUTED_VALUE"""),"#VALUE!")</f>
        <v>#VALUE!</v>
      </c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 t="str">
        <f ca="1">IFERROR(__xludf.DUMMYFUNCTION("""COMPUTED_VALUE"""),"DL107")</f>
        <v>DL107</v>
      </c>
      <c r="B136" s="1" t="str">
        <f ca="1">IFERROR(__xludf.DUMMYFUNCTION("""COMPUTED_VALUE"""),"African Technopreneurs")</f>
        <v>African Technopreneurs</v>
      </c>
      <c r="C136" s="1" t="str">
        <f ca="1">IFERROR(__xludf.DUMMYFUNCTION("""COMPUTED_VALUE"""),"Delivered")</f>
        <v>Delivered</v>
      </c>
      <c r="D136" s="3">
        <f ca="1">IFERROR(__xludf.DUMMYFUNCTION("""COMPUTED_VALUE"""),45306)</f>
        <v>45306</v>
      </c>
      <c r="E136" s="1" t="str">
        <f ca="1">IFERROR(__xludf.DUMMYFUNCTION("""COMPUTED_VALUE"""),"Hong Kong")</f>
        <v>Hong Kong</v>
      </c>
      <c r="F136" s="1" t="str">
        <f ca="1">IFERROR(__xludf.DUMMYFUNCTION("""COMPUTED_VALUE"""),"OR Tambo")</f>
        <v>OR Tambo</v>
      </c>
      <c r="G136" s="3">
        <f ca="1">IFERROR(__xludf.DUMMYFUNCTION("""COMPUTED_VALUE"""),45316)</f>
        <v>45316</v>
      </c>
      <c r="H136" s="3">
        <f ca="1">IFERROR(__xludf.DUMMYFUNCTION("""COMPUTED_VALUE"""),45317)</f>
        <v>45317</v>
      </c>
      <c r="I136" s="1" t="str">
        <f ca="1">IFERROR(__xludf.DUMMYFUNCTION("""COMPUTED_VALUE"""),"Shenzhen Nimbus")</f>
        <v>Shenzhen Nimbus</v>
      </c>
      <c r="J136" s="1" t="str">
        <f ca="1">IFERROR(__xludf.DUMMYFUNCTION("""COMPUTED_VALUE"""),"Air")</f>
        <v>Air</v>
      </c>
      <c r="K136" s="1" t="str">
        <f ca="1">IFERROR(__xludf.DUMMYFUNCTION("""COMPUTED_VALUE"""),"EK 9839")</f>
        <v>EK 9839</v>
      </c>
      <c r="L136" s="1" t="str">
        <f ca="1">IFERROR(__xludf.DUMMYFUNCTION("""COMPUTED_VALUE"""),"Emirates Airlines")</f>
        <v>Emirates Airlines</v>
      </c>
      <c r="M136" s="1" t="str">
        <f ca="1">IFERROR(__xludf.DUMMYFUNCTION("""COMPUTED_VALUE"""),"17694934350")</f>
        <v>17694934350</v>
      </c>
      <c r="N136" s="1" t="str">
        <f ca="1">IFERROR(__xludf.DUMMYFUNCTION("""COMPUTED_VALUE"""),"21918420NBA 2401005")</f>
        <v>21918420NBA 2401005</v>
      </c>
      <c r="O136" s="1" t="str">
        <f ca="1">IFERROR(__xludf.DUMMYFUNCTION("""COMPUTED_VALUE"""),"Express Bill of Lading")</f>
        <v>Express Bill of Lading</v>
      </c>
      <c r="P136" s="1" t="str">
        <f ca="1">IFERROR(__xludf.DUMMYFUNCTION("""COMPUTED_VALUE"""),"17694934350")</f>
        <v>17694934350</v>
      </c>
      <c r="Q136" s="1"/>
      <c r="R136" s="1" t="str">
        <f ca="1">IFERROR(__xludf.DUMMYFUNCTION("""COMPUTED_VALUE"""),"Africa Flight Services (SA), (Pty), Ltd")</f>
        <v>Africa Flight Services (SA), (Pty), Ltd</v>
      </c>
      <c r="S136" s="1" t="str">
        <f ca="1">IFERROR(__xludf.DUMMYFUNCTION("""COMPUTED_VALUE"""),"Asia Direct")</f>
        <v>Asia Direct</v>
      </c>
      <c r="T136" s="1" t="str">
        <f ca="1">IFERROR(__xludf.DUMMYFUNCTION("""COMPUTED_VALUE"""),"Thato")</f>
        <v>Thato</v>
      </c>
      <c r="U136" s="1"/>
      <c r="V136" s="1"/>
      <c r="W136" s="1"/>
      <c r="X136" s="1"/>
      <c r="Y136" s="1"/>
      <c r="Z136" s="4" t="str">
        <f ca="1">IFERROR(__xludf.DUMMYFUNCTION("""COMPUTED_VALUE"""),"#VALUE!")</f>
        <v>#VALUE!</v>
      </c>
    </row>
    <row r="137" spans="1:26" x14ac:dyDescent="0.3">
      <c r="A137" s="1" t="str">
        <f ca="1">IFERROR(__xludf.DUMMYFUNCTION("""COMPUTED_VALUE"""),"DL110")</f>
        <v>DL110</v>
      </c>
      <c r="B137" s="1" t="str">
        <f ca="1">IFERROR(__xludf.DUMMYFUNCTION("""COMPUTED_VALUE"""),"Kaizen Automotive Engineering")</f>
        <v>Kaizen Automotive Engineering</v>
      </c>
      <c r="C137" s="1" t="str">
        <f ca="1">IFERROR(__xludf.DUMMYFUNCTION("""COMPUTED_VALUE"""),"Delivered")</f>
        <v>Delivered</v>
      </c>
      <c r="D137" s="3">
        <f ca="1">IFERROR(__xludf.DUMMYFUNCTION("""COMPUTED_VALUE"""),45335)</f>
        <v>45335</v>
      </c>
      <c r="E137" s="1" t="str">
        <f ca="1">IFERROR(__xludf.DUMMYFUNCTION("""COMPUTED_VALUE"""),"Ningbo")</f>
        <v>Ningbo</v>
      </c>
      <c r="F137" s="1" t="str">
        <f ca="1">IFERROR(__xludf.DUMMYFUNCTION("""COMPUTED_VALUE"""),"Durban")</f>
        <v>Durban</v>
      </c>
      <c r="G137" s="3">
        <f ca="1">IFERROR(__xludf.DUMMYFUNCTION("""COMPUTED_VALUE"""),45390)</f>
        <v>45390</v>
      </c>
      <c r="H137" s="3">
        <f ca="1">IFERROR(__xludf.DUMMYFUNCTION("""COMPUTED_VALUE"""),45390)</f>
        <v>45390</v>
      </c>
      <c r="I137" s="1" t="str">
        <f ca="1">IFERROR(__xludf.DUMMYFUNCTION("""COMPUTED_VALUE"""),"OBD Logistics")</f>
        <v>OBD Logistics</v>
      </c>
      <c r="J137" s="1" t="str">
        <f ca="1">IFERROR(__xludf.DUMMYFUNCTION("""COMPUTED_VALUE"""),"Sea")</f>
        <v>Sea</v>
      </c>
      <c r="K137" s="1" t="str">
        <f ca="1">IFERROR(__xludf.DUMMYFUNCTION("""COMPUTED_VALUE"""),"ONE LINER")</f>
        <v>ONE LINER</v>
      </c>
      <c r="L137" s="1" t="str">
        <f ca="1">IFERROR(__xludf.DUMMYFUNCTION("""COMPUTED_VALUE"""),"Seamax Stamford")</f>
        <v>Seamax Stamford</v>
      </c>
      <c r="M137" s="1" t="str">
        <f ca="1">IFERROR(__xludf.DUMMYFUNCTION("""COMPUTED_VALUE"""),"ONEYNB3JFK782900")</f>
        <v>ONEYNB3JFK782900</v>
      </c>
      <c r="N137" s="1" t="str">
        <f ca="1">IFERROR(__xludf.DUMMYFUNCTION("""COMPUTED_VALUE"""),"LLLJHB24125287NB")</f>
        <v>LLLJHB24125287NB</v>
      </c>
      <c r="O137" s="1" t="str">
        <f ca="1">IFERROR(__xludf.DUMMYFUNCTION("""COMPUTED_VALUE"""),"Express Bill of Lading")</f>
        <v>Express Bill of Lading</v>
      </c>
      <c r="P137" s="1" t="str">
        <f ca="1">IFERROR(__xludf.DUMMYFUNCTION("""COMPUTED_VALUE"""),"CAIU5442861")</f>
        <v>CAIU5442861</v>
      </c>
      <c r="Q137" s="1" t="str">
        <f ca="1">IFERROR(__xludf.DUMMYFUNCTION("""COMPUTED_VALUE"""),"CNCU70127")</f>
        <v>CNCU70127</v>
      </c>
      <c r="R137" s="1" t="str">
        <f ca="1">IFERROR(__xludf.DUMMYFUNCTION("""COMPUTED_VALUE"""),"Afristar")</f>
        <v>Afristar</v>
      </c>
      <c r="S137" s="1" t="str">
        <f ca="1">IFERROR(__xludf.DUMMYFUNCTION("""COMPUTED_VALUE"""),"Greens Transport")</f>
        <v>Greens Transport</v>
      </c>
      <c r="T137" s="1" t="str">
        <f ca="1">IFERROR(__xludf.DUMMYFUNCTION("""COMPUTED_VALUE"""),"Hassan")</f>
        <v>Hassan</v>
      </c>
      <c r="U137" s="1" t="str">
        <f ca="1">IFERROR(__xludf.DUMMYFUNCTION("""COMPUTED_VALUE"""),"97512DK")</f>
        <v>97512DK</v>
      </c>
      <c r="V137" s="1" t="str">
        <f ca="1">IFERROR(__xludf.DUMMYFUNCTION("""COMPUTED_VALUE"""),"JV 14 RR GP")</f>
        <v>JV 14 RR GP</v>
      </c>
      <c r="W137" s="1"/>
      <c r="X137" s="1"/>
      <c r="Y137" s="1"/>
      <c r="Z137" s="4" t="str">
        <f ca="1">IFERROR(__xludf.DUMMYFUNCTION("""COMPUTED_VALUE"""),"#VALUE!")</f>
        <v>#VALUE!</v>
      </c>
    </row>
    <row r="138" spans="1:26" x14ac:dyDescent="0.3">
      <c r="A138" s="1" t="str">
        <f ca="1">IFERROR(__xludf.DUMMYFUNCTION("""COMPUTED_VALUE"""),"DL111")</f>
        <v>DL111</v>
      </c>
      <c r="B138" s="1" t="str">
        <f ca="1">IFERROR(__xludf.DUMMYFUNCTION("""COMPUTED_VALUE"""),"African Technopreneurs")</f>
        <v>African Technopreneurs</v>
      </c>
      <c r="C138" s="1" t="str">
        <f ca="1">IFERROR(__xludf.DUMMYFUNCTION("""COMPUTED_VALUE"""),"Delivered")</f>
        <v>Delivered</v>
      </c>
      <c r="D138" s="3">
        <f ca="1">IFERROR(__xludf.DUMMYFUNCTION("""COMPUTED_VALUE"""),45308)</f>
        <v>45308</v>
      </c>
      <c r="E138" s="1" t="str">
        <f ca="1">IFERROR(__xludf.DUMMYFUNCTION("""COMPUTED_VALUE"""),"Or Tambo")</f>
        <v>Or Tambo</v>
      </c>
      <c r="F138" s="1"/>
      <c r="G138" s="3">
        <f ca="1">IFERROR(__xludf.DUMMYFUNCTION("""COMPUTED_VALUE"""),45314)</f>
        <v>45314</v>
      </c>
      <c r="H138" s="3">
        <f ca="1">IFERROR(__xludf.DUMMYFUNCTION("""COMPUTED_VALUE"""),45314)</f>
        <v>45314</v>
      </c>
      <c r="I138" s="1" t="str">
        <f ca="1">IFERROR(__xludf.DUMMYFUNCTION("""COMPUTED_VALUE"""),"Fedex")</f>
        <v>Fedex</v>
      </c>
      <c r="J138" s="1" t="str">
        <f ca="1">IFERROR(__xludf.DUMMYFUNCTION("""COMPUTED_VALUE"""),"Air")</f>
        <v>Air</v>
      </c>
      <c r="K138" s="1"/>
      <c r="L138" s="1"/>
      <c r="M138" s="1" t="str">
        <f ca="1">IFERROR(__xludf.DUMMYFUNCTION("""COMPUTED_VALUE"""),"7748 3738 0705")</f>
        <v>7748 3738 0705</v>
      </c>
      <c r="N138" s="1" t="str">
        <f ca="1">IFERROR(__xludf.DUMMYFUNCTION("""COMPUTED_VALUE"""),"7748 3738 0705")</f>
        <v>7748 3738 0705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4" t="str">
        <f ca="1">IFERROR(__xludf.DUMMYFUNCTION("""COMPUTED_VALUE"""),"#VALUE!")</f>
        <v>#VALUE!</v>
      </c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 t="str">
        <f ca="1">IFERROR(__xludf.DUMMYFUNCTION("""COMPUTED_VALUE"""),"DL112")</f>
        <v>DL112</v>
      </c>
      <c r="B142" s="1" t="str">
        <f ca="1">IFERROR(__xludf.DUMMYFUNCTION("""COMPUTED_VALUE"""),"Filter Industries")</f>
        <v>Filter Industries</v>
      </c>
      <c r="C142" s="1" t="str">
        <f ca="1">IFERROR(__xludf.DUMMYFUNCTION("""COMPUTED_VALUE"""),"Delivered")</f>
        <v>Delivered</v>
      </c>
      <c r="D142" s="3">
        <f ca="1">IFERROR(__xludf.DUMMYFUNCTION("""COMPUTED_VALUE"""),45320)</f>
        <v>45320</v>
      </c>
      <c r="E142" s="1" t="str">
        <f ca="1">IFERROR(__xludf.DUMMYFUNCTION("""COMPUTED_VALUE"""),"Tianjin")</f>
        <v>Tianjin</v>
      </c>
      <c r="F142" s="1" t="str">
        <f ca="1">IFERROR(__xludf.DUMMYFUNCTION("""COMPUTED_VALUE"""),"Durban")</f>
        <v>Durban</v>
      </c>
      <c r="G142" s="3">
        <f ca="1">IFERROR(__xludf.DUMMYFUNCTION("""COMPUTED_VALUE"""),45395)</f>
        <v>45395</v>
      </c>
      <c r="H142" s="3">
        <f ca="1">IFERROR(__xludf.DUMMYFUNCTION("""COMPUTED_VALUE"""),45395)</f>
        <v>45395</v>
      </c>
      <c r="I142" s="1" t="str">
        <f ca="1">IFERROR(__xludf.DUMMYFUNCTION("""COMPUTED_VALUE"""),"Shenzhen Nimbus")</f>
        <v>Shenzhen Nimbus</v>
      </c>
      <c r="J142" s="1" t="str">
        <f ca="1">IFERROR(__xludf.DUMMYFUNCTION("""COMPUTED_VALUE"""),"Sea")</f>
        <v>Sea</v>
      </c>
      <c r="K142" s="1" t="str">
        <f ca="1">IFERROR(__xludf.DUMMYFUNCTION("""COMPUTED_VALUE"""),"CMA CGM")</f>
        <v>CMA CGM</v>
      </c>
      <c r="L142" s="1" t="str">
        <f ca="1">IFERROR(__xludf.DUMMYFUNCTION("""COMPUTED_VALUE"""),"MATZ MAERSK 404W - Maersk Cairo - CCNI ARAUCO")</f>
        <v>MATZ MAERSK 404W - Maersk Cairo - CCNI ARAUCO</v>
      </c>
      <c r="M142" s="1" t="str">
        <f ca="1">IFERROR(__xludf.DUMMYFUNCTION("""COMPUTED_VALUE"""),"235161958")</f>
        <v>235161958</v>
      </c>
      <c r="N142" s="1" t="str">
        <f ca="1">IFERROR(__xludf.DUMMYFUNCTION("""COMPUTED_VALUE"""),"NBS2401097")</f>
        <v>NBS2401097</v>
      </c>
      <c r="O142" s="1" t="str">
        <f ca="1">IFERROR(__xludf.DUMMYFUNCTION("""COMPUTED_VALUE"""),"Express Bill of Lading")</f>
        <v>Express Bill of Lading</v>
      </c>
      <c r="P142" s="1" t="str">
        <f ca="1">IFERROR(__xludf.DUMMYFUNCTION("""COMPUTED_VALUE"""),"MRSU0374326")</f>
        <v>MRSU0374326</v>
      </c>
      <c r="Q142" s="1" t="str">
        <f ca="1">IFERROR(__xludf.DUMMYFUNCTION("""COMPUTED_VALUE"""),"CN4088101")</f>
        <v>CN4088101</v>
      </c>
      <c r="R142" s="1" t="str">
        <f ca="1">IFERROR(__xludf.DUMMYFUNCTION("""COMPUTED_VALUE"""),"Maersk Line")</f>
        <v>Maersk Line</v>
      </c>
      <c r="S142" s="1"/>
      <c r="T142" s="1"/>
      <c r="U142" s="1"/>
      <c r="V142" s="1"/>
      <c r="W142" s="1"/>
      <c r="X142" s="1"/>
      <c r="Y142" s="1"/>
      <c r="Z142" s="4" t="str">
        <f ca="1">IFERROR(__xludf.DUMMYFUNCTION("""COMPUTED_VALUE"""),"#VALUE!")</f>
        <v>#VALUE!</v>
      </c>
    </row>
    <row r="143" spans="1:26" x14ac:dyDescent="0.3">
      <c r="A143" s="1" t="str">
        <f ca="1">IFERROR(__xludf.DUMMYFUNCTION("""COMPUTED_VALUE"""),"DL113")</f>
        <v>DL113</v>
      </c>
      <c r="B143" s="1" t="str">
        <f ca="1">IFERROR(__xludf.DUMMYFUNCTION("""COMPUTED_VALUE"""),"Prindel Govendor")</f>
        <v>Prindel Govendor</v>
      </c>
      <c r="C143" s="1" t="str">
        <f ca="1">IFERROR(__xludf.DUMMYFUNCTION("""COMPUTED_VALUE"""),"Delivered")</f>
        <v>Delivered</v>
      </c>
      <c r="D143" s="3">
        <f ca="1">IFERROR(__xludf.DUMMYFUNCTION("""COMPUTED_VALUE"""),45335)</f>
        <v>45335</v>
      </c>
      <c r="E143" s="1" t="str">
        <f ca="1">IFERROR(__xludf.DUMMYFUNCTION("""COMPUTED_VALUE"""),"SHENZHEN")</f>
        <v>SHENZHEN</v>
      </c>
      <c r="F143" s="1" t="str">
        <f ca="1">IFERROR(__xludf.DUMMYFUNCTION("""COMPUTED_VALUE"""),"Durban")</f>
        <v>Durban</v>
      </c>
      <c r="G143" s="3">
        <f ca="1">IFERROR(__xludf.DUMMYFUNCTION("""COMPUTED_VALUE"""),45390)</f>
        <v>45390</v>
      </c>
      <c r="H143" s="3">
        <f ca="1">IFERROR(__xludf.DUMMYFUNCTION("""COMPUTED_VALUE"""),45390)</f>
        <v>45390</v>
      </c>
      <c r="I143" s="1" t="str">
        <f ca="1">IFERROR(__xludf.DUMMYFUNCTION("""COMPUTED_VALUE"""),"OBD Logistics")</f>
        <v>OBD Logistics</v>
      </c>
      <c r="J143" s="1" t="str">
        <f ca="1">IFERROR(__xludf.DUMMYFUNCTION("""COMPUTED_VALUE"""),"Sea")</f>
        <v>Sea</v>
      </c>
      <c r="K143" s="1" t="str">
        <f ca="1">IFERROR(__xludf.DUMMYFUNCTION("""COMPUTED_VALUE"""),"Ocean Network")</f>
        <v>Ocean Network</v>
      </c>
      <c r="L143" s="1" t="str">
        <f ca="1">IFERROR(__xludf.DUMMYFUNCTION("""COMPUTED_VALUE"""),"Ever United 197W")</f>
        <v>Ever United 197W</v>
      </c>
      <c r="M143" s="1" t="str">
        <f ca="1">IFERROR(__xludf.DUMMYFUNCTION("""COMPUTED_VALUE"""),"ONEYHKGDJ7854800")</f>
        <v>ONEYHKGDJ7854800</v>
      </c>
      <c r="N143" s="1" t="str">
        <f ca="1">IFERROR(__xludf.DUMMYFUNCTION("""COMPUTED_VALUE"""),"LLLJHB24129547")</f>
        <v>LLLJHB24129547</v>
      </c>
      <c r="O143" s="1" t="str">
        <f ca="1">IFERROR(__xludf.DUMMYFUNCTION("""COMPUTED_VALUE"""),"Express Bill of Lading")</f>
        <v>Express Bill of Lading</v>
      </c>
      <c r="P143" s="1" t="str">
        <f ca="1">IFERROR(__xludf.DUMMYFUNCTION("""COMPUTED_VALUE"""),"ONEU-9147010")</f>
        <v>ONEU-9147010</v>
      </c>
      <c r="Q143" s="1" t="str">
        <f ca="1">IFERROR(__xludf.DUMMYFUNCTION("""COMPUTED_VALUE"""),"CNBR63998")</f>
        <v>CNBR63998</v>
      </c>
      <c r="R143" s="1" t="str">
        <f ca="1">IFERROR(__xludf.DUMMYFUNCTION("""COMPUTED_VALUE"""),"Afristar")</f>
        <v>Afristar</v>
      </c>
      <c r="S143" s="1" t="str">
        <f ca="1">IFERROR(__xludf.DUMMYFUNCTION("""COMPUTED_VALUE"""),"Asia Direct")</f>
        <v>Asia Direct</v>
      </c>
      <c r="T143" s="1" t="str">
        <f ca="1">IFERROR(__xludf.DUMMYFUNCTION("""COMPUTED_VALUE"""),"Worthington Dube")</f>
        <v>Worthington Dube</v>
      </c>
      <c r="U143" s="1" t="str">
        <f ca="1">IFERROR(__xludf.DUMMYFUNCTION("""COMPUTED_VALUE"""),"2035038800002")</f>
        <v>2035038800002</v>
      </c>
      <c r="V143" s="1" t="str">
        <f ca="1">IFERROR(__xludf.DUMMYFUNCTION("""COMPUTED_VALUE"""),"NU50616")</f>
        <v>NU50616</v>
      </c>
      <c r="W143" s="1"/>
      <c r="X143" s="1"/>
      <c r="Y143" s="1"/>
      <c r="Z143" s="4" t="str">
        <f ca="1">IFERROR(__xludf.DUMMYFUNCTION("""COMPUTED_VALUE"""),"#VALUE!")</f>
        <v>#VALUE!</v>
      </c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 t="str">
        <f ca="1">IFERROR(__xludf.DUMMYFUNCTION("""COMPUTED_VALUE"""),"DL103")</f>
        <v>DL103</v>
      </c>
      <c r="B148" s="1" t="str">
        <f ca="1">IFERROR(__xludf.DUMMYFUNCTION("""COMPUTED_VALUE"""),"Lebotho trading &amp; construction Pty")</f>
        <v>Lebotho trading &amp; construction Pty</v>
      </c>
      <c r="C148" s="1" t="str">
        <f ca="1">IFERROR(__xludf.DUMMYFUNCTION("""COMPUTED_VALUE"""),"Delivered")</f>
        <v>Delivered</v>
      </c>
      <c r="D148" s="3">
        <f ca="1">IFERROR(__xludf.DUMMYFUNCTION("""COMPUTED_VALUE"""),45350)</f>
        <v>45350</v>
      </c>
      <c r="E148" s="1" t="str">
        <f ca="1">IFERROR(__xludf.DUMMYFUNCTION("""COMPUTED_VALUE"""),"QINGDAO")</f>
        <v>QINGDAO</v>
      </c>
      <c r="F148" s="1" t="str">
        <f ca="1">IFERROR(__xludf.DUMMYFUNCTION("""COMPUTED_VALUE"""),"Durban")</f>
        <v>Durban</v>
      </c>
      <c r="G148" s="3">
        <f ca="1">IFERROR(__xludf.DUMMYFUNCTION("""COMPUTED_VALUE"""),45395)</f>
        <v>45395</v>
      </c>
      <c r="H148" s="3">
        <f ca="1">IFERROR(__xludf.DUMMYFUNCTION("""COMPUTED_VALUE"""),45401)</f>
        <v>45401</v>
      </c>
      <c r="I148" s="1" t="str">
        <f ca="1">IFERROR(__xludf.DUMMYFUNCTION("""COMPUTED_VALUE"""),"OBD Logistics")</f>
        <v>OBD Logistics</v>
      </c>
      <c r="J148" s="1" t="str">
        <f ca="1">IFERROR(__xludf.DUMMYFUNCTION("""COMPUTED_VALUE"""),"Sea")</f>
        <v>Sea</v>
      </c>
      <c r="K148" s="1" t="str">
        <f ca="1">IFERROR(__xludf.DUMMYFUNCTION("""COMPUTED_VALUE"""),"MAERSK")</f>
        <v>MAERSK</v>
      </c>
      <c r="L148" s="1" t="str">
        <f ca="1">IFERROR(__xludf.DUMMYFUNCTION("""COMPUTED_VALUE"""),"MAERSK AMBRA")</f>
        <v>MAERSK AMBRA</v>
      </c>
      <c r="M148" s="1" t="str">
        <f ca="1">IFERROR(__xludf.DUMMYFUNCTION("""COMPUTED_VALUE"""),"2781366922")</f>
        <v>2781366922</v>
      </c>
      <c r="N148" s="1"/>
      <c r="O148" s="1" t="str">
        <f ca="1">IFERROR(__xludf.DUMMYFUNCTION("""COMPUTED_VALUE"""),"Express Bill of Lading")</f>
        <v>Express Bill of Lading</v>
      </c>
      <c r="P148" s="1" t="str">
        <f ca="1">IFERROR(__xludf.DUMMYFUNCTION("""COMPUTED_VALUE"""),"MNBU3753001")</f>
        <v>MNBU3753001</v>
      </c>
      <c r="Q148" s="1" t="str">
        <f ca="1">IFERROR(__xludf.DUMMYFUNCTION("""COMPUTED_VALUE"""),"CN6302101")</f>
        <v>CN6302101</v>
      </c>
      <c r="R148" s="1" t="str">
        <f ca="1">IFERROR(__xludf.DUMMYFUNCTION("""COMPUTED_VALUE"""),"Maersk Line")</f>
        <v>Maersk Line</v>
      </c>
      <c r="S148" s="1" t="str">
        <f ca="1">IFERROR(__xludf.DUMMYFUNCTION("""COMPUTED_VALUE"""),"MUSECHI MOTORS")</f>
        <v>MUSECHI MOTORS</v>
      </c>
      <c r="T148" s="1" t="str">
        <f ca="1">IFERROR(__xludf.DUMMYFUNCTION("""COMPUTED_VALUE"""),"FIDRESS MUKUDO")</f>
        <v>FIDRESS MUKUDO</v>
      </c>
      <c r="U148" s="1" t="str">
        <f ca="1">IFERROR(__xludf.DUMMYFUNCTION("""COMPUTED_VALUE"""),"EN009639")</f>
        <v>EN009639</v>
      </c>
      <c r="V148" s="1" t="str">
        <f ca="1">IFERROR(__xludf.DUMMYFUNCTION("""COMPUTED_VALUE"""),"FWD538L")</f>
        <v>FWD538L</v>
      </c>
      <c r="W148" s="1" t="str">
        <f ca="1">IFERROR(__xludf.DUMMYFUNCTION("""COMPUTED_VALUE"""),"There is  a delay with the shipment ,and the ETD is 28th February")</f>
        <v>There is  a delay with the shipment ,and the ETD is 28th February</v>
      </c>
      <c r="X148" s="1"/>
      <c r="Y148" s="1"/>
      <c r="Z148" s="4" t="str">
        <f ca="1">IFERROR(__xludf.DUMMYFUNCTION("""COMPUTED_VALUE"""),"#VALUE!")</f>
        <v>#VALUE!</v>
      </c>
    </row>
    <row r="149" spans="1:26" x14ac:dyDescent="0.3">
      <c r="A149" s="1" t="str">
        <f ca="1">IFERROR(__xludf.DUMMYFUNCTION("""COMPUTED_VALUE"""),"DL117")</f>
        <v>DL117</v>
      </c>
      <c r="B149" s="1" t="str">
        <f ca="1">IFERROR(__xludf.DUMMYFUNCTION("""COMPUTED_VALUE"""),"Sithembe Procuments")</f>
        <v>Sithembe Procuments</v>
      </c>
      <c r="C149" s="1" t="str">
        <f ca="1">IFERROR(__xludf.DUMMYFUNCTION("""COMPUTED_VALUE"""),"Delivered")</f>
        <v>Delivered</v>
      </c>
      <c r="D149" s="3">
        <f ca="1">IFERROR(__xludf.DUMMYFUNCTION("""COMPUTED_VALUE"""),45314)</f>
        <v>45314</v>
      </c>
      <c r="E149" s="1" t="str">
        <f ca="1">IFERROR(__xludf.DUMMYFUNCTION("""COMPUTED_VALUE"""),"Beijing")</f>
        <v>Beijing</v>
      </c>
      <c r="F149" s="1" t="str">
        <f ca="1">IFERROR(__xludf.DUMMYFUNCTION("""COMPUTED_VALUE"""),"Johannesburg")</f>
        <v>Johannesburg</v>
      </c>
      <c r="G149" s="3">
        <f ca="1">IFERROR(__xludf.DUMMYFUNCTION("""COMPUTED_VALUE"""),45324)</f>
        <v>45324</v>
      </c>
      <c r="H149" s="3">
        <f ca="1">IFERROR(__xludf.DUMMYFUNCTION("""COMPUTED_VALUE"""),45327)</f>
        <v>45327</v>
      </c>
      <c r="I149" s="1"/>
      <c r="J149" s="1" t="str">
        <f ca="1">IFERROR(__xludf.DUMMYFUNCTION("""COMPUTED_VALUE"""),"Air")</f>
        <v>Air</v>
      </c>
      <c r="K149" s="1" t="str">
        <f ca="1">IFERROR(__xludf.DUMMYFUNCTION("""COMPUTED_VALUE"""),"CA867")</f>
        <v>CA867</v>
      </c>
      <c r="L149" s="1" t="str">
        <f ca="1">IFERROR(__xludf.DUMMYFUNCTION("""COMPUTED_VALUE"""),"Air China Cargo")</f>
        <v>Air China Cargo</v>
      </c>
      <c r="M149" s="1" t="str">
        <f ca="1">IFERROR(__xludf.DUMMYFUNCTION("""COMPUTED_VALUE"""),"999-02641542")</f>
        <v>999-02641542</v>
      </c>
      <c r="N149" s="1" t="str">
        <f ca="1">IFERROR(__xludf.DUMMYFUNCTION("""COMPUTED_VALUE"""),"999-02641542")</f>
        <v>999-02641542</v>
      </c>
      <c r="O149" s="1" t="str">
        <f ca="1">IFERROR(__xludf.DUMMYFUNCTION("""COMPUTED_VALUE"""),"Express Bill of Lading")</f>
        <v>Express Bill of Lading</v>
      </c>
      <c r="P149" s="1" t="str">
        <f ca="1">IFERROR(__xludf.DUMMYFUNCTION("""COMPUTED_VALUE"""),"999-02641542")</f>
        <v>999-02641542</v>
      </c>
      <c r="Q149" s="1"/>
      <c r="R149" s="1" t="str">
        <f ca="1">IFERROR(__xludf.DUMMYFUNCTION("""COMPUTED_VALUE"""),"Menzies International")</f>
        <v>Menzies International</v>
      </c>
      <c r="S149" s="1" t="str">
        <f ca="1">IFERROR(__xludf.DUMMYFUNCTION("""COMPUTED_VALUE"""),"Greens Transport")</f>
        <v>Greens Transport</v>
      </c>
      <c r="T149" s="1" t="str">
        <f ca="1">IFERROR(__xludf.DUMMYFUNCTION("""COMPUTED_VALUE"""),"Hassan Green Jara")</f>
        <v>Hassan Green Jara</v>
      </c>
      <c r="U149" s="1" t="str">
        <f ca="1">IFERROR(__xludf.DUMMYFUNCTION("""COMPUTED_VALUE"""),"97512DK")</f>
        <v>97512DK</v>
      </c>
      <c r="V149" s="1" t="str">
        <f ca="1">IFERROR(__xludf.DUMMYFUNCTION("""COMPUTED_VALUE"""),"JV14RRGP")</f>
        <v>JV14RRGP</v>
      </c>
      <c r="W149" s="1"/>
      <c r="X149" s="1"/>
      <c r="Y149" s="1"/>
      <c r="Z149" s="4" t="str">
        <f ca="1">IFERROR(__xludf.DUMMYFUNCTION("""COMPUTED_VALUE"""),"#VALUE!")</f>
        <v>#VALUE!</v>
      </c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 t="str">
        <f ca="1">IFERROR(__xludf.DUMMYFUNCTION("""COMPUTED_VALUE"""),"DL108")</f>
        <v>DL108</v>
      </c>
      <c r="B151" s="1" t="str">
        <f ca="1">IFERROR(__xludf.DUMMYFUNCTION("""COMPUTED_VALUE"""),"Shand Sermela")</f>
        <v>Shand Sermela</v>
      </c>
      <c r="C151" s="1" t="str">
        <f ca="1">IFERROR(__xludf.DUMMYFUNCTION("""COMPUTED_VALUE"""),"Delivered")</f>
        <v>Delivered</v>
      </c>
      <c r="D151" s="3">
        <f ca="1">IFERROR(__xludf.DUMMYFUNCTION("""COMPUTED_VALUE"""),45366)</f>
        <v>45366</v>
      </c>
      <c r="E151" s="1" t="str">
        <f ca="1">IFERROR(__xludf.DUMMYFUNCTION("""COMPUTED_VALUE"""),"SHEKOU")</f>
        <v>SHEKOU</v>
      </c>
      <c r="F151" s="1" t="str">
        <f ca="1">IFERROR(__xludf.DUMMYFUNCTION("""COMPUTED_VALUE"""),"Durban")</f>
        <v>Durban</v>
      </c>
      <c r="G151" s="3">
        <f ca="1">IFERROR(__xludf.DUMMYFUNCTION("""COMPUTED_VALUE"""),45412)</f>
        <v>45412</v>
      </c>
      <c r="H151" s="3">
        <f ca="1">IFERROR(__xludf.DUMMYFUNCTION("""COMPUTED_VALUE"""),45412)</f>
        <v>45412</v>
      </c>
      <c r="I151" s="1" t="str">
        <f ca="1">IFERROR(__xludf.DUMMYFUNCTION("""COMPUTED_VALUE"""),"OBD Logistics")</f>
        <v>OBD Logistics</v>
      </c>
      <c r="J151" s="1" t="str">
        <f ca="1">IFERROR(__xludf.DUMMYFUNCTION("""COMPUTED_VALUE"""),"Sea")</f>
        <v>Sea</v>
      </c>
      <c r="K151" s="1" t="str">
        <f ca="1">IFERROR(__xludf.DUMMYFUNCTION("""COMPUTED_VALUE"""),"20796777")</f>
        <v>20796777</v>
      </c>
      <c r="L151" s="1" t="str">
        <f ca="1">IFERROR(__xludf.DUMMYFUNCTION("""COMPUTED_VALUE"""),"KOTA SINGA 064W")</f>
        <v>KOTA SINGA 064W</v>
      </c>
      <c r="M151" s="1" t="str">
        <f ca="1">IFERROR(__xludf.DUMMYFUNCTION("""COMPUTED_VALUE"""),"ONEYHKGE40013600")</f>
        <v>ONEYHKGE40013600</v>
      </c>
      <c r="N151" s="1" t="str">
        <f ca="1">IFERROR(__xludf.DUMMYFUNCTION("""COMPUTED_VALUE"""),"LLLJHB24315294SZ")</f>
        <v>LLLJHB24315294SZ</v>
      </c>
      <c r="O151" s="1" t="str">
        <f ca="1">IFERROR(__xludf.DUMMYFUNCTION("""COMPUTED_VALUE"""),"Express Bill of Lading")</f>
        <v>Express Bill of Lading</v>
      </c>
      <c r="P151" s="1" t="str">
        <f ca="1">IFERROR(__xludf.DUMMYFUNCTION("""COMPUTED_VALUE"""),"ONEU-9045466")</f>
        <v>ONEU-9045466</v>
      </c>
      <c r="Q151" s="1" t="str">
        <f ca="1">IFERROR(__xludf.DUMMYFUNCTION("""COMPUTED_VALUE"""),"CNBJ50459")</f>
        <v>CNBJ50459</v>
      </c>
      <c r="R151" s="1" t="str">
        <f ca="1">IFERROR(__xludf.DUMMYFUNCTION("""COMPUTED_VALUE"""),"Afristar")</f>
        <v>Afristar</v>
      </c>
      <c r="S151" s="1" t="str">
        <f ca="1">IFERROR(__xludf.DUMMYFUNCTION("""COMPUTED_VALUE"""),"Greens Transport")</f>
        <v>Greens Transport</v>
      </c>
      <c r="T151" s="1" t="str">
        <f ca="1">IFERROR(__xludf.DUMMYFUNCTION("""COMPUTED_VALUE"""),"Green Hassan Jara")</f>
        <v>Green Hassan Jara</v>
      </c>
      <c r="U151" s="1" t="str">
        <f ca="1">IFERROR(__xludf.DUMMYFUNCTION("""COMPUTED_VALUE"""),"97512DK")</f>
        <v>97512DK</v>
      </c>
      <c r="V151" s="1" t="str">
        <f ca="1">IFERROR(__xludf.DUMMYFUNCTION("""COMPUTED_VALUE"""),"JV 14 RR GP")</f>
        <v>JV 14 RR GP</v>
      </c>
      <c r="W151" s="1" t="str">
        <f ca="1">IFERROR(__xludf.DUMMYFUNCTION("""COMPUTED_VALUE"""),"SOB will be 26 March")</f>
        <v>SOB will be 26 March</v>
      </c>
      <c r="X151" s="1"/>
      <c r="Y151" s="1"/>
      <c r="Z151" s="4" t="str">
        <f ca="1">IFERROR(__xludf.DUMMYFUNCTION("""COMPUTED_VALUE"""),"#VALUE!")</f>
        <v>#VALUE!</v>
      </c>
    </row>
    <row r="152" spans="1:26" x14ac:dyDescent="0.3">
      <c r="A152" s="1" t="str">
        <f ca="1">IFERROR(__xludf.DUMMYFUNCTION("""COMPUTED_VALUE"""),"DL126")</f>
        <v>DL126</v>
      </c>
      <c r="B152" s="1" t="str">
        <f ca="1">IFERROR(__xludf.DUMMYFUNCTION("""COMPUTED_VALUE"""),"Mpho Ngobene")</f>
        <v>Mpho Ngobene</v>
      </c>
      <c r="C152" s="1" t="str">
        <f ca="1">IFERROR(__xludf.DUMMYFUNCTION("""COMPUTED_VALUE"""),"Delivered")</f>
        <v>Delivered</v>
      </c>
      <c r="D152" s="3">
        <f ca="1">IFERROR(__xludf.DUMMYFUNCTION("""COMPUTED_VALUE"""),45366)</f>
        <v>45366</v>
      </c>
      <c r="E152" s="1" t="str">
        <f ca="1">IFERROR(__xludf.DUMMYFUNCTION("""COMPUTED_VALUE"""),"Shekou")</f>
        <v>Shekou</v>
      </c>
      <c r="F152" s="1" t="str">
        <f ca="1">IFERROR(__xludf.DUMMYFUNCTION("""COMPUTED_VALUE"""),"Durban")</f>
        <v>Durban</v>
      </c>
      <c r="G152" s="3">
        <f ca="1">IFERROR(__xludf.DUMMYFUNCTION("""COMPUTED_VALUE"""),45378)</f>
        <v>45378</v>
      </c>
      <c r="H152" s="3">
        <f ca="1">IFERROR(__xludf.DUMMYFUNCTION("""COMPUTED_VALUE"""),45378)</f>
        <v>45378</v>
      </c>
      <c r="I152" s="1" t="str">
        <f ca="1">IFERROR(__xludf.DUMMYFUNCTION("""COMPUTED_VALUE"""),"OBD Logistics")</f>
        <v>OBD Logistics</v>
      </c>
      <c r="J152" s="1" t="str">
        <f ca="1">IFERROR(__xludf.DUMMYFUNCTION("""COMPUTED_VALUE"""),"Sea")</f>
        <v>Sea</v>
      </c>
      <c r="K152" s="1"/>
      <c r="L152" s="1" t="str">
        <f ca="1">IFERROR(__xludf.DUMMYFUNCTION("""COMPUTED_VALUE"""),"KOTA SINGA")</f>
        <v>KOTA SINGA</v>
      </c>
      <c r="M152" s="1" t="str">
        <f ca="1">IFERROR(__xludf.DUMMYFUNCTION("""COMPUTED_VALUE"""),"ONEYHKGE40013600")</f>
        <v>ONEYHKGE40013600</v>
      </c>
      <c r="N152" s="1" t="str">
        <f ca="1">IFERROR(__xludf.DUMMYFUNCTION("""COMPUTED_VALUE"""),"LLLJHB24315294SZ")</f>
        <v>LLLJHB24315294SZ</v>
      </c>
      <c r="O152" s="1" t="str">
        <f ca="1">IFERROR(__xludf.DUMMYFUNCTION("""COMPUTED_VALUE"""),"Express Bill of Lading")</f>
        <v>Express Bill of Lading</v>
      </c>
      <c r="P152" s="1" t="str">
        <f ca="1">IFERROR(__xludf.DUMMYFUNCTION("""COMPUTED_VALUE"""),"ONEU-9045466")</f>
        <v>ONEU-9045466</v>
      </c>
      <c r="Q152" s="1" t="str">
        <f ca="1">IFERROR(__xludf.DUMMYFUNCTION("""COMPUTED_VALUE"""),"CNBJ50459")</f>
        <v>CNBJ50459</v>
      </c>
      <c r="R152" s="1" t="str">
        <f ca="1">IFERROR(__xludf.DUMMYFUNCTION("""COMPUTED_VALUE"""),"Afristar")</f>
        <v>Afristar</v>
      </c>
      <c r="S152" s="1" t="str">
        <f ca="1">IFERROR(__xludf.DUMMYFUNCTION("""COMPUTED_VALUE"""),"Greens Transport")</f>
        <v>Greens Transport</v>
      </c>
      <c r="T152" s="1"/>
      <c r="U152" s="1"/>
      <c r="V152" s="1"/>
      <c r="W152" s="1"/>
      <c r="X152" s="1"/>
      <c r="Y152" s="1"/>
      <c r="Z152" s="4" t="str">
        <f ca="1">IFERROR(__xludf.DUMMYFUNCTION("""COMPUTED_VALUE"""),"#VALUE!")</f>
        <v>#VALUE!</v>
      </c>
    </row>
    <row r="153" spans="1:26" x14ac:dyDescent="0.3">
      <c r="A153" s="1" t="str">
        <f ca="1">IFERROR(__xludf.DUMMYFUNCTION("""COMPUTED_VALUE"""),"DL124")</f>
        <v>DL124</v>
      </c>
      <c r="B153" s="1" t="str">
        <f ca="1">IFERROR(__xludf.DUMMYFUNCTION("""COMPUTED_VALUE"""),"Karl Bulow")</f>
        <v>Karl Bulow</v>
      </c>
      <c r="C153" s="1" t="str">
        <f ca="1">IFERROR(__xludf.DUMMYFUNCTION("""COMPUTED_VALUE"""),"Delivered")</f>
        <v>Delivered</v>
      </c>
      <c r="D153" s="3">
        <f ca="1">IFERROR(__xludf.DUMMYFUNCTION("""COMPUTED_VALUE"""),45439)</f>
        <v>45439</v>
      </c>
      <c r="E153" s="1" t="str">
        <f ca="1">IFERROR(__xludf.DUMMYFUNCTION("""COMPUTED_VALUE"""),"Shenzhen")</f>
        <v>Shenzhen</v>
      </c>
      <c r="F153" s="1" t="str">
        <f ca="1">IFERROR(__xludf.DUMMYFUNCTION("""COMPUTED_VALUE"""),"Durban")</f>
        <v>Durban</v>
      </c>
      <c r="G153" s="3">
        <f ca="1">IFERROR(__xludf.DUMMYFUNCTION("""COMPUTED_VALUE"""),45467)</f>
        <v>45467</v>
      </c>
      <c r="H153" s="3">
        <f ca="1">IFERROR(__xludf.DUMMYFUNCTION("""COMPUTED_VALUE"""),45442)</f>
        <v>45442</v>
      </c>
      <c r="I153" s="1" t="str">
        <f ca="1">IFERROR(__xludf.DUMMYFUNCTION("""COMPUTED_VALUE"""),"OBD Logistics")</f>
        <v>OBD Logistics</v>
      </c>
      <c r="J153" s="1" t="str">
        <f ca="1">IFERROR(__xludf.DUMMYFUNCTION("""COMPUTED_VALUE"""),"Sea")</f>
        <v>Sea</v>
      </c>
      <c r="K153" s="1" t="str">
        <f ca="1">IFERROR(__xludf.DUMMYFUNCTION("""COMPUTED_VALUE"""),"CMA CGM SHIPPING AGENCIES SOUTH AFRICA (PTY) LTD")</f>
        <v>CMA CGM SHIPPING AGENCIES SOUTH AFRICA (PTY) LTD</v>
      </c>
      <c r="L153" s="1" t="str">
        <f ca="1">IFERROR(__xludf.DUMMYFUNCTION("""COMPUTED_VALUE"""),"CMA CGM MEKONG")</f>
        <v>CMA CGM MEKONG</v>
      </c>
      <c r="M153" s="1" t="str">
        <f ca="1">IFERROR(__xludf.DUMMYFUNCTION("""COMPUTED_VALUE"""),"SHZ6170461")</f>
        <v>SHZ6170461</v>
      </c>
      <c r="N153" s="1" t="str">
        <f ca="1">IFERROR(__xludf.DUMMYFUNCTION("""COMPUTED_VALUE"""),"AMIGL240193511A")</f>
        <v>AMIGL240193511A</v>
      </c>
      <c r="O153" s="1" t="str">
        <f ca="1">IFERROR(__xludf.DUMMYFUNCTION("""COMPUTED_VALUE"""),"Express Bill of Lading")</f>
        <v>Express Bill of Lading</v>
      </c>
      <c r="P153" s="1" t="str">
        <f ca="1">IFERROR(__xludf.DUMMYFUNCTION("""COMPUTED_VALUE"""),"CGMU5382378")</f>
        <v>CGMU5382378</v>
      </c>
      <c r="Q153" s="1" t="str">
        <f ca="1">IFERROR(__xludf.DUMMYFUNCTION("""COMPUTED_VALUE"""),"R6664159")</f>
        <v>R6664159</v>
      </c>
      <c r="R153" s="1" t="str">
        <f ca="1">IFERROR(__xludf.DUMMYFUNCTION("""COMPUTED_VALUE"""),"CONTRA CONSOLIDATIONS")</f>
        <v>CONTRA CONSOLIDATIONS</v>
      </c>
      <c r="S153" s="1" t="str">
        <f ca="1">IFERROR(__xludf.DUMMYFUNCTION("""COMPUTED_VALUE"""),"Asia Direct")</f>
        <v>Asia Direct</v>
      </c>
      <c r="T153" s="1"/>
      <c r="U153" s="1"/>
      <c r="V153" s="1"/>
      <c r="W153" s="1"/>
      <c r="X153" s="1"/>
      <c r="Y153" s="1"/>
      <c r="Z153" s="4" t="str">
        <f ca="1">IFERROR(__xludf.DUMMYFUNCTION("""COMPUTED_VALUE"""),"#VALUE!")</f>
        <v>#VALUE!</v>
      </c>
    </row>
    <row r="154" spans="1:26" x14ac:dyDescent="0.3">
      <c r="A154" s="1" t="str">
        <f ca="1">IFERROR(__xludf.DUMMYFUNCTION("""COMPUTED_VALUE"""),"DL131")</f>
        <v>DL131</v>
      </c>
      <c r="B154" s="1" t="str">
        <f ca="1">IFERROR(__xludf.DUMMYFUNCTION("""COMPUTED_VALUE"""),"African Technopreneurs")</f>
        <v>African Technopreneurs</v>
      </c>
      <c r="C154" s="1" t="str">
        <f ca="1">IFERROR(__xludf.DUMMYFUNCTION("""COMPUTED_VALUE"""),"Delivered")</f>
        <v>Delivered</v>
      </c>
      <c r="D154" s="3">
        <f ca="1">IFERROR(__xludf.DUMMYFUNCTION("""COMPUTED_VALUE"""),45366)</f>
        <v>45366</v>
      </c>
      <c r="E154" s="1" t="str">
        <f ca="1">IFERROR(__xludf.DUMMYFUNCTION("""COMPUTED_VALUE"""),"Guangzhou")</f>
        <v>Guangzhou</v>
      </c>
      <c r="F154" s="1" t="str">
        <f ca="1">IFERROR(__xludf.DUMMYFUNCTION("""COMPUTED_VALUE"""),"OR TAMBO INT")</f>
        <v>OR TAMBO INT</v>
      </c>
      <c r="G154" s="3">
        <f ca="1">IFERROR(__xludf.DUMMYFUNCTION("""COMPUTED_VALUE"""),45378)</f>
        <v>45378</v>
      </c>
      <c r="H154" s="3">
        <f ca="1">IFERROR(__xludf.DUMMYFUNCTION("""COMPUTED_VALUE"""),45378)</f>
        <v>45378</v>
      </c>
      <c r="I154" s="1" t="str">
        <f ca="1">IFERROR(__xludf.DUMMYFUNCTION("""COMPUTED_VALUE"""),"Shenzhen Nimbus")</f>
        <v>Shenzhen Nimbus</v>
      </c>
      <c r="J154" s="1" t="str">
        <f ca="1">IFERROR(__xludf.DUMMYFUNCTION("""COMPUTED_VALUE"""),"Air")</f>
        <v>Air</v>
      </c>
      <c r="K154" s="1" t="str">
        <f ca="1">IFERROR(__xludf.DUMMYFUNCTION("""COMPUTED_VALUE"""),"SINGAPORE AIRLINES")</f>
        <v>SINGAPORE AIRLINES</v>
      </c>
      <c r="L154" s="1" t="str">
        <f ca="1">IFERROR(__xludf.DUMMYFUNCTION("""COMPUTED_VALUE"""),"SINGAPORE AIRLINES")</f>
        <v>SINGAPORE AIRLINES</v>
      </c>
      <c r="M154" s="1" t="str">
        <f ca="1">IFERROR(__xludf.DUMMYFUNCTION("""COMPUTED_VALUE"""),"618-30180124")</f>
        <v>618-30180124</v>
      </c>
      <c r="N154" s="1" t="str">
        <f ca="1">IFERROR(__xludf.DUMMYFUNCTION("""COMPUTED_VALUE"""),"NBA2403002")</f>
        <v>NBA2403002</v>
      </c>
      <c r="O154" s="1" t="str">
        <f ca="1">IFERROR(__xludf.DUMMYFUNCTION("""COMPUTED_VALUE"""),"Express Bill of Lading")</f>
        <v>Express Bill of Lading</v>
      </c>
      <c r="P154" s="1" t="str">
        <f ca="1">IFERROR(__xludf.DUMMYFUNCTION("""COMPUTED_VALUE"""),"N/A")</f>
        <v>N/A</v>
      </c>
      <c r="Q154" s="1" t="str">
        <f ca="1">IFERROR(__xludf.DUMMYFUNCTION("""COMPUTED_VALUE"""),"N/A")</f>
        <v>N/A</v>
      </c>
      <c r="R154" s="1" t="str">
        <f ca="1">IFERROR(__xludf.DUMMYFUNCTION("""COMPUTED_VALUE"""),"Swissport")</f>
        <v>Swissport</v>
      </c>
      <c r="S154" s="1" t="str">
        <f ca="1">IFERROR(__xludf.DUMMYFUNCTION("""COMPUTED_VALUE"""),"Asia Direct")</f>
        <v>Asia Direct</v>
      </c>
      <c r="T154" s="1" t="str">
        <f ca="1">IFERROR(__xludf.DUMMYFUNCTION("""COMPUTED_VALUE"""),"Gift Masebe")</f>
        <v>Gift Masebe</v>
      </c>
      <c r="U154" s="1" t="str">
        <f ca="1">IFERROR(__xludf.DUMMYFUNCTION("""COMPUTED_VALUE"""),"4099003M1M8")</f>
        <v>4099003M1M8</v>
      </c>
      <c r="V154" s="1" t="str">
        <f ca="1">IFERROR(__xludf.DUMMYFUNCTION("""COMPUTED_VALUE"""),"LR 20 VL GP")</f>
        <v>LR 20 VL GP</v>
      </c>
      <c r="W154" s="1"/>
      <c r="X154" s="1"/>
      <c r="Y154" s="1"/>
      <c r="Z154" s="4" t="str">
        <f ca="1">IFERROR(__xludf.DUMMYFUNCTION("""COMPUTED_VALUE"""),"#VALUE!")</f>
        <v>#VALUE!</v>
      </c>
    </row>
    <row r="155" spans="1:26" x14ac:dyDescent="0.3">
      <c r="A155" s="1" t="str">
        <f ca="1">IFERROR(__xludf.DUMMYFUNCTION("""COMPUTED_VALUE"""),"DL130")</f>
        <v>DL130</v>
      </c>
      <c r="B155" s="1" t="str">
        <f ca="1">IFERROR(__xludf.DUMMYFUNCTION("""COMPUTED_VALUE"""),"Mpumatech Stainless Tube (Pty) Ltd")</f>
        <v>Mpumatech Stainless Tube (Pty) Ltd</v>
      </c>
      <c r="C155" s="1" t="str">
        <f ca="1">IFERROR(__xludf.DUMMYFUNCTION("""COMPUTED_VALUE"""),"Delivered")</f>
        <v>Delivered</v>
      </c>
      <c r="D155" s="3">
        <f ca="1">IFERROR(__xludf.DUMMYFUNCTION("""COMPUTED_VALUE"""),45362)</f>
        <v>45362</v>
      </c>
      <c r="E155" s="1" t="str">
        <f ca="1">IFERROR(__xludf.DUMMYFUNCTION("""COMPUTED_VALUE"""),"OR TAMBO")</f>
        <v>OR TAMBO</v>
      </c>
      <c r="F155" s="1" t="str">
        <f ca="1">IFERROR(__xludf.DUMMYFUNCTION("""COMPUTED_VALUE"""),"Bamako, 91091 Mali")</f>
        <v>Bamako, 91091 Mali</v>
      </c>
      <c r="G155" s="3">
        <f ca="1">IFERROR(__xludf.DUMMYFUNCTION("""COMPUTED_VALUE"""),45380)</f>
        <v>45380</v>
      </c>
      <c r="H155" s="3">
        <f ca="1">IFERROR(__xludf.DUMMYFUNCTION("""COMPUTED_VALUE"""),45380)</f>
        <v>45380</v>
      </c>
      <c r="I155" s="1" t="str">
        <f ca="1">IFERROR(__xludf.DUMMYFUNCTION("""COMPUTED_VALUE"""),"My Shipmints")</f>
        <v>My Shipmints</v>
      </c>
      <c r="J155" s="1" t="str">
        <f ca="1">IFERROR(__xludf.DUMMYFUNCTION("""COMPUTED_VALUE"""),"Air")</f>
        <v>Air</v>
      </c>
      <c r="K155" s="1"/>
      <c r="L155" s="1"/>
      <c r="M155" s="1"/>
      <c r="N155" s="1" t="str">
        <f ca="1">IFERROR(__xludf.DUMMYFUNCTION("""COMPUTED_VALUE"""),"7755 0710 1851")</f>
        <v>7755 0710 1851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4" t="str">
        <f ca="1">IFERROR(__xludf.DUMMYFUNCTION("""COMPUTED_VALUE"""),"#VALUE!")</f>
        <v>#VALUE!</v>
      </c>
    </row>
    <row r="156" spans="1:26" x14ac:dyDescent="0.3">
      <c r="A156" s="1" t="str">
        <f ca="1">IFERROR(__xludf.DUMMYFUNCTION("""COMPUTED_VALUE"""),"DL132")</f>
        <v>DL132</v>
      </c>
      <c r="B156" s="1" t="str">
        <f ca="1">IFERROR(__xludf.DUMMYFUNCTION("""COMPUTED_VALUE"""),"Mpumatech Stainless Tube (Pty) Ltd")</f>
        <v>Mpumatech Stainless Tube (Pty) Ltd</v>
      </c>
      <c r="C156" s="1" t="str">
        <f ca="1">IFERROR(__xludf.DUMMYFUNCTION("""COMPUTED_VALUE"""),"Delivered")</f>
        <v>Delivered</v>
      </c>
      <c r="D156" s="3">
        <f ca="1">IFERROR(__xludf.DUMMYFUNCTION("""COMPUTED_VALUE"""),45365)</f>
        <v>45365</v>
      </c>
      <c r="E156" s="1" t="str">
        <f ca="1">IFERROR(__xludf.DUMMYFUNCTION("""COMPUTED_VALUE"""),"OR TAMBO")</f>
        <v>OR TAMBO</v>
      </c>
      <c r="F156" s="1"/>
      <c r="G156" s="3">
        <f ca="1">IFERROR(__xludf.DUMMYFUNCTION("""COMPUTED_VALUE"""),45380)</f>
        <v>45380</v>
      </c>
      <c r="H156" s="3">
        <f ca="1">IFERROR(__xludf.DUMMYFUNCTION("""COMPUTED_VALUE"""),45380)</f>
        <v>45380</v>
      </c>
      <c r="I156" s="1" t="str">
        <f ca="1">IFERROR(__xludf.DUMMYFUNCTION("""COMPUTED_VALUE"""),"My Shipmints")</f>
        <v>My Shipmints</v>
      </c>
      <c r="J156" s="1" t="str">
        <f ca="1">IFERROR(__xludf.DUMMYFUNCTION("""COMPUTED_VALUE"""),"Air")</f>
        <v>Air</v>
      </c>
      <c r="K156" s="1"/>
      <c r="L156" s="1"/>
      <c r="M156" s="1" t="str">
        <f ca="1">IFERROR(__xludf.DUMMYFUNCTION("""COMPUTED_VALUE"""),"7755 0710 1851")</f>
        <v>7755 0710 1851</v>
      </c>
      <c r="N156" s="1" t="str">
        <f ca="1">IFERROR(__xludf.DUMMYFUNCTION("""COMPUTED_VALUE"""),"7755 0710 1851")</f>
        <v>7755 0710 1851</v>
      </c>
      <c r="O156" s="1" t="str">
        <f ca="1">IFERROR(__xludf.DUMMYFUNCTION("""COMPUTED_VALUE"""),"Express Bill of Lading")</f>
        <v>Express Bill of Lading</v>
      </c>
      <c r="P156" s="1"/>
      <c r="Q156" s="1"/>
      <c r="R156" s="1" t="str">
        <f ca="1">IFERROR(__xludf.DUMMYFUNCTION("""COMPUTED_VALUE"""),"Fedex")</f>
        <v>Fedex</v>
      </c>
      <c r="S156" s="1"/>
      <c r="T156" s="1"/>
      <c r="U156" s="1"/>
      <c r="V156" s="1"/>
      <c r="W156" s="1"/>
      <c r="X156" s="1"/>
      <c r="Y156" s="1"/>
      <c r="Z156" s="4" t="str">
        <f ca="1">IFERROR(__xludf.DUMMYFUNCTION("""COMPUTED_VALUE"""),"#VALUE!")</f>
        <v>#VALUE!</v>
      </c>
    </row>
    <row r="157" spans="1:26" x14ac:dyDescent="0.3">
      <c r="A157" s="1" t="str">
        <f ca="1">IFERROR(__xludf.DUMMYFUNCTION("""COMPUTED_VALUE"""),"DL120")</f>
        <v>DL120</v>
      </c>
      <c r="B157" s="1" t="str">
        <f ca="1">IFERROR(__xludf.DUMMYFUNCTION("""COMPUTED_VALUE"""),"Thabo Khorombi")</f>
        <v>Thabo Khorombi</v>
      </c>
      <c r="C157" s="1" t="str">
        <f ca="1">IFERROR(__xludf.DUMMYFUNCTION("""COMPUTED_VALUE"""),"Delivered")</f>
        <v>Delivered</v>
      </c>
      <c r="D157" s="3">
        <f ca="1">IFERROR(__xludf.DUMMYFUNCTION("""COMPUTED_VALUE"""),45366)</f>
        <v>45366</v>
      </c>
      <c r="E157" s="1" t="str">
        <f ca="1">IFERROR(__xludf.DUMMYFUNCTION("""COMPUTED_VALUE"""),"Shekou")</f>
        <v>Shekou</v>
      </c>
      <c r="F157" s="1" t="str">
        <f ca="1">IFERROR(__xludf.DUMMYFUNCTION("""COMPUTED_VALUE"""),"Durban")</f>
        <v>Durban</v>
      </c>
      <c r="G157" s="3">
        <f ca="1">IFERROR(__xludf.DUMMYFUNCTION("""COMPUTED_VALUE"""),45381)</f>
        <v>45381</v>
      </c>
      <c r="H157" s="3">
        <f ca="1">IFERROR(__xludf.DUMMYFUNCTION("""COMPUTED_VALUE"""),45381)</f>
        <v>45381</v>
      </c>
      <c r="I157" s="1" t="str">
        <f ca="1">IFERROR(__xludf.DUMMYFUNCTION("""COMPUTED_VALUE"""),"OBD Logistics")</f>
        <v>OBD Logistics</v>
      </c>
      <c r="J157" s="1" t="str">
        <f ca="1">IFERROR(__xludf.DUMMYFUNCTION("""COMPUTED_VALUE"""),"Sea")</f>
        <v>Sea</v>
      </c>
      <c r="K157" s="1" t="str">
        <f ca="1">IFERROR(__xludf.DUMMYFUNCTION("""COMPUTED_VALUE"""),"20796777")</f>
        <v>20796777</v>
      </c>
      <c r="L157" s="1" t="str">
        <f ca="1">IFERROR(__xludf.DUMMYFUNCTION("""COMPUTED_VALUE"""),"KOTA SINGA 064W")</f>
        <v>KOTA SINGA 064W</v>
      </c>
      <c r="M157" s="1" t="str">
        <f ca="1">IFERROR(__xludf.DUMMYFUNCTION("""COMPUTED_VALUE"""),"ONEYHKGE40013600")</f>
        <v>ONEYHKGE40013600</v>
      </c>
      <c r="N157" s="1" t="str">
        <f ca="1">IFERROR(__xludf.DUMMYFUNCTION("""COMPUTED_VALUE"""),"LLLJHB24315294SZ")</f>
        <v>LLLJHB24315294SZ</v>
      </c>
      <c r="O157" s="1" t="str">
        <f ca="1">IFERROR(__xludf.DUMMYFUNCTION("""COMPUTED_VALUE"""),"Express Bill of Lading")</f>
        <v>Express Bill of Lading</v>
      </c>
      <c r="P157" s="1" t="str">
        <f ca="1">IFERROR(__xludf.DUMMYFUNCTION("""COMPUTED_VALUE"""),"ONEU-9045466")</f>
        <v>ONEU-9045466</v>
      </c>
      <c r="Q157" s="1" t="str">
        <f ca="1">IFERROR(__xludf.DUMMYFUNCTION("""COMPUTED_VALUE"""),"CNBJ50459")</f>
        <v>CNBJ50459</v>
      </c>
      <c r="R157" s="1" t="str">
        <f ca="1">IFERROR(__xludf.DUMMYFUNCTION("""COMPUTED_VALUE"""),"Afristar")</f>
        <v>Afristar</v>
      </c>
      <c r="S157" s="1" t="str">
        <f ca="1">IFERROR(__xludf.DUMMYFUNCTION("""COMPUTED_VALUE"""),"Greens Transport")</f>
        <v>Greens Transport</v>
      </c>
      <c r="T157" s="1"/>
      <c r="U157" s="1"/>
      <c r="V157" s="1"/>
      <c r="W157" s="1"/>
      <c r="X157" s="1"/>
      <c r="Y157" s="1"/>
      <c r="Z157" s="4" t="str">
        <f ca="1">IFERROR(__xludf.DUMMYFUNCTION("""COMPUTED_VALUE"""),"#VALUE!")</f>
        <v>#VALUE!</v>
      </c>
    </row>
    <row r="158" spans="1:26" x14ac:dyDescent="0.3">
      <c r="A158" s="1" t="str">
        <f ca="1">IFERROR(__xludf.DUMMYFUNCTION("""COMPUTED_VALUE"""),"DL134")</f>
        <v>DL134</v>
      </c>
      <c r="B158" s="1" t="str">
        <f ca="1">IFERROR(__xludf.DUMMYFUNCTION("""COMPUTED_VALUE"""),"Sithembe Procuments")</f>
        <v>Sithembe Procuments</v>
      </c>
      <c r="C158" s="1" t="str">
        <f ca="1">IFERROR(__xludf.DUMMYFUNCTION("""COMPUTED_VALUE"""),"Delivered")</f>
        <v>Delivered</v>
      </c>
      <c r="D158" s="3">
        <f ca="1">IFERROR(__xludf.DUMMYFUNCTION("""COMPUTED_VALUE"""),45354)</f>
        <v>45354</v>
      </c>
      <c r="E158" s="1" t="str">
        <f ca="1">IFERROR(__xludf.DUMMYFUNCTION("""COMPUTED_VALUE"""),"Hong Kong")</f>
        <v>Hong Kong</v>
      </c>
      <c r="F158" s="1" t="str">
        <f ca="1">IFERROR(__xludf.DUMMYFUNCTION("""COMPUTED_VALUE"""),"Durban")</f>
        <v>Durban</v>
      </c>
      <c r="G158" s="3">
        <f ca="1">IFERROR(__xludf.DUMMYFUNCTION("""COMPUTED_VALUE"""),45392)</f>
        <v>45392</v>
      </c>
      <c r="H158" s="3">
        <f ca="1">IFERROR(__xludf.DUMMYFUNCTION("""COMPUTED_VALUE"""),45392)</f>
        <v>45392</v>
      </c>
      <c r="I158" s="1"/>
      <c r="J158" s="1" t="str">
        <f ca="1">IFERROR(__xludf.DUMMYFUNCTION("""COMPUTED_VALUE"""),"Sea")</f>
        <v>Sea</v>
      </c>
      <c r="K158" s="1" t="str">
        <f ca="1">IFERROR(__xludf.DUMMYFUNCTION("""COMPUTED_VALUE"""),"ZZZ00074")</f>
        <v>ZZZ00074</v>
      </c>
      <c r="L158" s="1" t="str">
        <f ca="1">IFERROR(__xludf.DUMMYFUNCTION("""COMPUTED_VALUE"""),"COSCO IZMIR")</f>
        <v>COSCO IZMIR</v>
      </c>
      <c r="M158" s="1" t="str">
        <f ca="1">IFERROR(__xludf.DUMMYFUNCTION("""COMPUTED_VALUE"""),"ONEYHKGE13179500")</f>
        <v>ONEYHKGE13179500</v>
      </c>
      <c r="N158" s="1" t="str">
        <f ca="1">IFERROR(__xludf.DUMMYFUNCTION("""COMPUTED_VALUE"""),"SZSJHB10908634908")</f>
        <v>SZSJHB10908634908</v>
      </c>
      <c r="O158" s="1" t="str">
        <f ca="1">IFERROR(__xludf.DUMMYFUNCTION("""COMPUTED_VALUE"""),"Express Bill of Lading")</f>
        <v>Express Bill of Lading</v>
      </c>
      <c r="P158" s="1" t="str">
        <f ca="1">IFERROR(__xludf.DUMMYFUNCTION("""COMPUTED_VALUE"""),"TTNU-8130652")</f>
        <v>TTNU-8130652</v>
      </c>
      <c r="Q158" s="1" t="str">
        <f ca="1">IFERROR(__xludf.DUMMYFUNCTION("""COMPUTED_VALUE"""),"HKA153786")</f>
        <v>HKA153786</v>
      </c>
      <c r="R158" s="1" t="str">
        <f ca="1">IFERROR(__xludf.DUMMYFUNCTION("""COMPUTED_VALUE"""),"Cardinal. Global Logistics")</f>
        <v>Cardinal. Global Logistics</v>
      </c>
      <c r="S158" s="1" t="str">
        <f ca="1">IFERROR(__xludf.DUMMYFUNCTION("""COMPUTED_VALUE"""),"Greens Transport")</f>
        <v>Greens Transport</v>
      </c>
      <c r="T158" s="1"/>
      <c r="U158" s="1"/>
      <c r="V158" s="1"/>
      <c r="W158" s="1"/>
      <c r="X158" s="1"/>
      <c r="Y158" s="1"/>
      <c r="Z158" s="4" t="str">
        <f ca="1">IFERROR(__xludf.DUMMYFUNCTION("""COMPUTED_VALUE"""),"#VALUE!")</f>
        <v>#VALUE!</v>
      </c>
    </row>
    <row r="159" spans="1:26" x14ac:dyDescent="0.3">
      <c r="A159" s="1" t="str">
        <f ca="1">IFERROR(__xludf.DUMMYFUNCTION("""COMPUTED_VALUE"""),"DL123")</f>
        <v>DL123</v>
      </c>
      <c r="B159" s="1" t="str">
        <f ca="1">IFERROR(__xludf.DUMMYFUNCTION("""COMPUTED_VALUE"""),"Simweetwa Muchindu")</f>
        <v>Simweetwa Muchindu</v>
      </c>
      <c r="C159" s="1" t="str">
        <f ca="1">IFERROR(__xludf.DUMMYFUNCTION("""COMPUTED_VALUE"""),"Delivered")</f>
        <v>Delivered</v>
      </c>
      <c r="D159" s="3">
        <f ca="1">IFERROR(__xludf.DUMMYFUNCTION("""COMPUTED_VALUE"""),45352)</f>
        <v>45352</v>
      </c>
      <c r="E159" s="1" t="str">
        <f ca="1">IFERROR(__xludf.DUMMYFUNCTION("""COMPUTED_VALUE"""),"Or Tambo")</f>
        <v>Or Tambo</v>
      </c>
      <c r="F159" s="1" t="str">
        <f ca="1">IFERROR(__xludf.DUMMYFUNCTION("""COMPUTED_VALUE"""),"Any earest port")</f>
        <v>Any earest port</v>
      </c>
      <c r="G159" s="3">
        <f ca="1">IFERROR(__xludf.DUMMYFUNCTION("""COMPUTED_VALUE"""),45358)</f>
        <v>45358</v>
      </c>
      <c r="H159" s="3">
        <f ca="1">IFERROR(__xludf.DUMMYFUNCTION("""COMPUTED_VALUE"""),45370)</f>
        <v>45370</v>
      </c>
      <c r="I159" s="1" t="str">
        <f ca="1">IFERROR(__xludf.DUMMYFUNCTION("""COMPUTED_VALUE"""),"Fedex")</f>
        <v>Fedex</v>
      </c>
      <c r="J159" s="1" t="str">
        <f ca="1">IFERROR(__xludf.DUMMYFUNCTION("""COMPUTED_VALUE"""),"Air")</f>
        <v>Air</v>
      </c>
      <c r="K159" s="1"/>
      <c r="L159" s="1"/>
      <c r="M159" s="1" t="str">
        <f ca="1">IFERROR(__xludf.DUMMYFUNCTION("""COMPUTED_VALUE"""),"775397389582")</f>
        <v>775397389582</v>
      </c>
      <c r="N159" s="1" t="str">
        <f ca="1">IFERROR(__xludf.DUMMYFUNCTION("""COMPUTED_VALUE"""),"775397389582")</f>
        <v>775397389582</v>
      </c>
      <c r="O159" s="1" t="str">
        <f ca="1">IFERROR(__xludf.DUMMYFUNCTION("""COMPUTED_VALUE"""),"Express Bill of Lading")</f>
        <v>Express Bill of Lading</v>
      </c>
      <c r="P159" s="1" t="str">
        <f ca="1">IFERROR(__xludf.DUMMYFUNCTION("""COMPUTED_VALUE"""),"775397389582")</f>
        <v>775397389582</v>
      </c>
      <c r="Q159" s="1"/>
      <c r="R159" s="1" t="str">
        <f ca="1">IFERROR(__xludf.DUMMYFUNCTION("""COMPUTED_VALUE"""),"Fedex")</f>
        <v>Fedex</v>
      </c>
      <c r="S159" s="1"/>
      <c r="T159" s="1"/>
      <c r="U159" s="1"/>
      <c r="V159" s="1"/>
      <c r="W159" s="1"/>
      <c r="X159" s="1"/>
      <c r="Y159" s="1"/>
      <c r="Z159" s="4" t="str">
        <f ca="1">IFERROR(__xludf.DUMMYFUNCTION("""COMPUTED_VALUE"""),"#VALUE!")</f>
        <v>#VALUE!</v>
      </c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 t="str">
        <f ca="1">IFERROR(__xludf.DUMMYFUNCTION("""COMPUTED_VALUE"""),"DL121")</f>
        <v>DL121</v>
      </c>
      <c r="B161" s="1" t="str">
        <f ca="1">IFERROR(__xludf.DUMMYFUNCTION("""COMPUTED_VALUE"""),"Yaasir Mohamed")</f>
        <v>Yaasir Mohamed</v>
      </c>
      <c r="C161" s="1" t="str">
        <f ca="1">IFERROR(__xludf.DUMMYFUNCTION("""COMPUTED_VALUE"""),"Delivered")</f>
        <v>Delivered</v>
      </c>
      <c r="D161" s="3">
        <f ca="1">IFERROR(__xludf.DUMMYFUNCTION("""COMPUTED_VALUE"""),45370)</f>
        <v>45370</v>
      </c>
      <c r="E161" s="1" t="str">
        <f ca="1">IFERROR(__xludf.DUMMYFUNCTION("""COMPUTED_VALUE"""),"Shekou")</f>
        <v>Shekou</v>
      </c>
      <c r="F161" s="1" t="str">
        <f ca="1">IFERROR(__xludf.DUMMYFUNCTION("""COMPUTED_VALUE"""),"Durban")</f>
        <v>Durban</v>
      </c>
      <c r="G161" s="3">
        <f ca="1">IFERROR(__xludf.DUMMYFUNCTION("""COMPUTED_VALUE"""),45412)</f>
        <v>45412</v>
      </c>
      <c r="H161" s="3">
        <f ca="1">IFERROR(__xludf.DUMMYFUNCTION("""COMPUTED_VALUE"""),45412)</f>
        <v>45412</v>
      </c>
      <c r="I161" s="1" t="str">
        <f ca="1">IFERROR(__xludf.DUMMYFUNCTION("""COMPUTED_VALUE"""),"OBD Logistics")</f>
        <v>OBD Logistics</v>
      </c>
      <c r="J161" s="1" t="str">
        <f ca="1">IFERROR(__xludf.DUMMYFUNCTION("""COMPUTED_VALUE"""),"Sea")</f>
        <v>Sea</v>
      </c>
      <c r="K161" s="1" t="str">
        <f ca="1">IFERROR(__xludf.DUMMYFUNCTION("""COMPUTED_VALUE"""),"20796777")</f>
        <v>20796777</v>
      </c>
      <c r="L161" s="1" t="str">
        <f ca="1">IFERROR(__xludf.DUMMYFUNCTION("""COMPUTED_VALUE"""),"KOTA SINGA")</f>
        <v>KOTA SINGA</v>
      </c>
      <c r="M161" s="1" t="str">
        <f ca="1">IFERROR(__xludf.DUMMYFUNCTION("""COMPUTED_VALUE"""),"ONEYHKGE40013600")</f>
        <v>ONEYHKGE40013600</v>
      </c>
      <c r="N161" s="1" t="str">
        <f ca="1">IFERROR(__xludf.DUMMYFUNCTION("""COMPUTED_VALUE"""),"LLLJHB24315294SZ")</f>
        <v>LLLJHB24315294SZ</v>
      </c>
      <c r="O161" s="1" t="str">
        <f ca="1">IFERROR(__xludf.DUMMYFUNCTION("""COMPUTED_VALUE"""),"Express Bill of Lading")</f>
        <v>Express Bill of Lading</v>
      </c>
      <c r="P161" s="1" t="str">
        <f ca="1">IFERROR(__xludf.DUMMYFUNCTION("""COMPUTED_VALUE"""),"ONEU-9045466")</f>
        <v>ONEU-9045466</v>
      </c>
      <c r="Q161" s="1" t="str">
        <f ca="1">IFERROR(__xludf.DUMMYFUNCTION("""COMPUTED_VALUE"""),"CNBJ50459")</f>
        <v>CNBJ50459</v>
      </c>
      <c r="R161" s="1" t="str">
        <f ca="1">IFERROR(__xludf.DUMMYFUNCTION("""COMPUTED_VALUE"""),"Afristar")</f>
        <v>Afristar</v>
      </c>
      <c r="S161" s="1" t="str">
        <f ca="1">IFERROR(__xludf.DUMMYFUNCTION("""COMPUTED_VALUE"""),"Greens Transport")</f>
        <v>Greens Transport</v>
      </c>
      <c r="T161" s="1"/>
      <c r="U161" s="1"/>
      <c r="V161" s="1"/>
      <c r="W161" s="1"/>
      <c r="X161" s="1"/>
      <c r="Y161" s="1"/>
      <c r="Z161" s="4" t="str">
        <f ca="1">IFERROR(__xludf.DUMMYFUNCTION("""COMPUTED_VALUE"""),"#VALUE!")</f>
        <v>#VALUE!</v>
      </c>
    </row>
    <row r="162" spans="1:26" x14ac:dyDescent="0.3">
      <c r="A162" s="1" t="str">
        <f ca="1">IFERROR(__xludf.DUMMYFUNCTION("""COMPUTED_VALUE"""),"DL115")</f>
        <v>DL115</v>
      </c>
      <c r="B162" s="1" t="str">
        <f ca="1">IFERROR(__xludf.DUMMYFUNCTION("""COMPUTED_VALUE"""),"VYKON (PTY) LTD")</f>
        <v>VYKON (PTY) LTD</v>
      </c>
      <c r="C162" s="1" t="str">
        <f ca="1">IFERROR(__xludf.DUMMYFUNCTION("""COMPUTED_VALUE"""),"Delivered")</f>
        <v>Delivered</v>
      </c>
      <c r="D162" s="3">
        <f ca="1">IFERROR(__xludf.DUMMYFUNCTION("""COMPUTED_VALUE"""),45370)</f>
        <v>45370</v>
      </c>
      <c r="E162" s="1" t="str">
        <f ca="1">IFERROR(__xludf.DUMMYFUNCTION("""COMPUTED_VALUE"""),"Shekou")</f>
        <v>Shekou</v>
      </c>
      <c r="F162" s="1" t="str">
        <f ca="1">IFERROR(__xludf.DUMMYFUNCTION("""COMPUTED_VALUE"""),"Durban")</f>
        <v>Durban</v>
      </c>
      <c r="G162" s="3">
        <f ca="1">IFERROR(__xludf.DUMMYFUNCTION("""COMPUTED_VALUE"""),45408)</f>
        <v>45408</v>
      </c>
      <c r="H162" s="3">
        <f ca="1">IFERROR(__xludf.DUMMYFUNCTION("""COMPUTED_VALUE"""),45408)</f>
        <v>45408</v>
      </c>
      <c r="I162" s="1" t="str">
        <f ca="1">IFERROR(__xludf.DUMMYFUNCTION("""COMPUTED_VALUE"""),"OBD Logistics")</f>
        <v>OBD Logistics</v>
      </c>
      <c r="J162" s="1" t="str">
        <f ca="1">IFERROR(__xludf.DUMMYFUNCTION("""COMPUTED_VALUE"""),"Sea")</f>
        <v>Sea</v>
      </c>
      <c r="K162" s="1" t="str">
        <f ca="1">IFERROR(__xludf.DUMMYFUNCTION("""COMPUTED_VALUE"""),"20796777")</f>
        <v>20796777</v>
      </c>
      <c r="L162" s="1" t="str">
        <f ca="1">IFERROR(__xludf.DUMMYFUNCTION("""COMPUTED_VALUE"""),"KOTA SINGA 064W")</f>
        <v>KOTA SINGA 064W</v>
      </c>
      <c r="M162" s="1" t="str">
        <f ca="1">IFERROR(__xludf.DUMMYFUNCTION("""COMPUTED_VALUE"""),"ONEYHKGE40013600")</f>
        <v>ONEYHKGE40013600</v>
      </c>
      <c r="N162" s="1" t="str">
        <f ca="1">IFERROR(__xludf.DUMMYFUNCTION("""COMPUTED_VALUE"""),"LLLJHB24315294SZ")</f>
        <v>LLLJHB24315294SZ</v>
      </c>
      <c r="O162" s="1" t="str">
        <f ca="1">IFERROR(__xludf.DUMMYFUNCTION("""COMPUTED_VALUE"""),"Express Bill of Lading")</f>
        <v>Express Bill of Lading</v>
      </c>
      <c r="P162" s="1" t="str">
        <f ca="1">IFERROR(__xludf.DUMMYFUNCTION("""COMPUTED_VALUE"""),"ONEU-9045466")</f>
        <v>ONEU-9045466</v>
      </c>
      <c r="Q162" s="1" t="str">
        <f ca="1">IFERROR(__xludf.DUMMYFUNCTION("""COMPUTED_VALUE"""),"CNBJ50459")</f>
        <v>CNBJ50459</v>
      </c>
      <c r="R162" s="1" t="str">
        <f ca="1">IFERROR(__xludf.DUMMYFUNCTION("""COMPUTED_VALUE"""),"Afristar")</f>
        <v>Afristar</v>
      </c>
      <c r="S162" s="1" t="str">
        <f ca="1">IFERROR(__xludf.DUMMYFUNCTION("""COMPUTED_VALUE"""),"Asia Direct")</f>
        <v>Asia Direct</v>
      </c>
      <c r="T162" s="1" t="str">
        <f ca="1">IFERROR(__xludf.DUMMYFUNCTION("""COMPUTED_VALUE"""),"Gary klopper")</f>
        <v>Gary klopper</v>
      </c>
      <c r="U162" s="1" t="str">
        <f ca="1">IFERROR(__xludf.DUMMYFUNCTION("""COMPUTED_VALUE"""),"6502245024087")</f>
        <v>6502245024087</v>
      </c>
      <c r="V162" s="1" t="str">
        <f ca="1">IFERROR(__xludf.DUMMYFUNCTION("""COMPUTED_VALUE"""),"Bt69gn GP")</f>
        <v>Bt69gn GP</v>
      </c>
      <c r="W162" s="1"/>
      <c r="X162" s="1"/>
      <c r="Y162" s="1"/>
      <c r="Z162" s="4" t="str">
        <f ca="1">IFERROR(__xludf.DUMMYFUNCTION("""COMPUTED_VALUE"""),"#VALUE!")</f>
        <v>#VALUE!</v>
      </c>
    </row>
    <row r="163" spans="1:26" x14ac:dyDescent="0.3">
      <c r="A163" s="1" t="str">
        <f ca="1">IFERROR(__xludf.DUMMYFUNCTION("""COMPUTED_VALUE"""),"DL143")</f>
        <v>DL143</v>
      </c>
      <c r="B163" s="1" t="str">
        <f ca="1">IFERROR(__xludf.DUMMYFUNCTION("""COMPUTED_VALUE"""),"KONE AND JC")</f>
        <v>KONE AND JC</v>
      </c>
      <c r="C163" s="1" t="str">
        <f ca="1">IFERROR(__xludf.DUMMYFUNCTION("""COMPUTED_VALUE"""),"Delivered")</f>
        <v>Delivered</v>
      </c>
      <c r="D163" s="3">
        <f ca="1">IFERROR(__xludf.DUMMYFUNCTION("""COMPUTED_VALUE"""),45385)</f>
        <v>45385</v>
      </c>
      <c r="E163" s="1" t="str">
        <f ca="1">IFERROR(__xludf.DUMMYFUNCTION("""COMPUTED_VALUE"""),"OR Tambo")</f>
        <v>OR Tambo</v>
      </c>
      <c r="F163" s="1" t="str">
        <f ca="1">IFERROR(__xludf.DUMMYFUNCTION("""COMPUTED_VALUE"""),"Luanda")</f>
        <v>Luanda</v>
      </c>
      <c r="G163" s="3">
        <f ca="1">IFERROR(__xludf.DUMMYFUNCTION("""COMPUTED_VALUE"""),45400)</f>
        <v>45400</v>
      </c>
      <c r="H163" s="3">
        <f ca="1">IFERROR(__xludf.DUMMYFUNCTION("""COMPUTED_VALUE"""),45400)</f>
        <v>45400</v>
      </c>
      <c r="I163" s="1" t="str">
        <f ca="1">IFERROR(__xludf.DUMMYFUNCTION("""COMPUTED_VALUE"""),"Fedex")</f>
        <v>Fedex</v>
      </c>
      <c r="J163" s="1" t="str">
        <f ca="1">IFERROR(__xludf.DUMMYFUNCTION("""COMPUTED_VALUE"""),"Air")</f>
        <v>Air</v>
      </c>
      <c r="K163" s="1"/>
      <c r="L163" s="1"/>
      <c r="M163" s="1"/>
      <c r="N163" s="1"/>
      <c r="O163" s="1" t="str">
        <f ca="1">IFERROR(__xludf.DUMMYFUNCTION("""COMPUTED_VALUE"""),"Express Bill of Lading")</f>
        <v>Express Bill of Lading</v>
      </c>
      <c r="P163" s="1"/>
      <c r="Q163" s="1"/>
      <c r="R163" s="1" t="str">
        <f ca="1">IFERROR(__xludf.DUMMYFUNCTION("""COMPUTED_VALUE"""),"Fedex")</f>
        <v>Fedex</v>
      </c>
      <c r="S163" s="1"/>
      <c r="T163" s="1"/>
      <c r="U163" s="1"/>
      <c r="V163" s="1"/>
      <c r="W163" s="1"/>
      <c r="X163" s="1"/>
      <c r="Y163" s="1"/>
      <c r="Z163" s="4" t="str">
        <f ca="1">IFERROR(__xludf.DUMMYFUNCTION("""COMPUTED_VALUE"""),"#VALUE!")</f>
        <v>#VALUE!</v>
      </c>
    </row>
    <row r="164" spans="1:26" x14ac:dyDescent="0.3">
      <c r="A164" s="1" t="str">
        <f ca="1">IFERROR(__xludf.DUMMYFUNCTION("""COMPUTED_VALUE"""),"DL138")</f>
        <v>DL138</v>
      </c>
      <c r="B164" s="1" t="str">
        <f ca="1">IFERROR(__xludf.DUMMYFUNCTION("""COMPUTED_VALUE"""),"TOP TECH CATERING")</f>
        <v>TOP TECH CATERING</v>
      </c>
      <c r="C164" s="1" t="str">
        <f ca="1">IFERROR(__xludf.DUMMYFUNCTION("""COMPUTED_VALUE"""),"Delivered")</f>
        <v>Delivered</v>
      </c>
      <c r="D164" s="3">
        <f ca="1">IFERROR(__xludf.DUMMYFUNCTION("""COMPUTED_VALUE"""),45384)</f>
        <v>45384</v>
      </c>
      <c r="E164" s="1" t="str">
        <f ca="1">IFERROR(__xludf.DUMMYFUNCTION("""COMPUTED_VALUE"""),"SHEKOU")</f>
        <v>SHEKOU</v>
      </c>
      <c r="F164" s="1" t="str">
        <f ca="1">IFERROR(__xludf.DUMMYFUNCTION("""COMPUTED_VALUE"""),"Durban")</f>
        <v>Durban</v>
      </c>
      <c r="G164" s="3">
        <f ca="1">IFERROR(__xludf.DUMMYFUNCTION("""COMPUTED_VALUE"""),45417)</f>
        <v>45417</v>
      </c>
      <c r="H164" s="3">
        <f ca="1">IFERROR(__xludf.DUMMYFUNCTION("""COMPUTED_VALUE"""),45429)</f>
        <v>45429</v>
      </c>
      <c r="I164" s="1" t="str">
        <f ca="1">IFERROR(__xludf.DUMMYFUNCTION("""COMPUTED_VALUE"""),"OBD Logistics")</f>
        <v>OBD Logistics</v>
      </c>
      <c r="J164" s="1" t="str">
        <f ca="1">IFERROR(__xludf.DUMMYFUNCTION("""COMPUTED_VALUE"""),"Sea")</f>
        <v>Sea</v>
      </c>
      <c r="K164" s="1" t="str">
        <f ca="1">IFERROR(__xludf.DUMMYFUNCTION("""COMPUTED_VALUE"""),"OOCL")</f>
        <v>OOCL</v>
      </c>
      <c r="L164" s="1" t="str">
        <f ca="1">IFERROR(__xludf.DUMMYFUNCTION("""COMPUTED_VALUE"""),"COSCO WELLINGTON 091W-----KOTA LEKAS 058W")</f>
        <v>COSCO WELLINGTON 091W-----KOTA LEKAS 058W</v>
      </c>
      <c r="M164" s="1" t="str">
        <f ca="1">IFERROR(__xludf.DUMMYFUNCTION("""COMPUTED_VALUE"""),"OOLU2734343593")</f>
        <v>OOLU2734343593</v>
      </c>
      <c r="N164" s="1"/>
      <c r="O164" s="1" t="str">
        <f ca="1">IFERROR(__xludf.DUMMYFUNCTION("""COMPUTED_VALUE"""),"Original Bill of Lading")</f>
        <v>Original Bill of Lading</v>
      </c>
      <c r="P164" s="1" t="str">
        <f ca="1">IFERROR(__xludf.DUMMYFUNCTION("""COMPUTED_VALUE"""),"FSCU8919955")</f>
        <v>FSCU8919955</v>
      </c>
      <c r="Q164" s="1" t="str">
        <f ca="1">IFERROR(__xludf.DUMMYFUNCTION("""COMPUTED_VALUE"""),"OOLJJY2635")</f>
        <v>OOLJJY2635</v>
      </c>
      <c r="R164" s="1" t="str">
        <f ca="1">IFERROR(__xludf.DUMMYFUNCTION("""COMPUTED_VALUE"""),"COSCO")</f>
        <v>COSCO</v>
      </c>
      <c r="S164" s="1" t="str">
        <f ca="1">IFERROR(__xludf.DUMMYFUNCTION("""COMPUTED_VALUE"""),"SEALAND TRANSPORT SERVICES")</f>
        <v>SEALAND TRANSPORT SERVICES</v>
      </c>
      <c r="T164" s="1" t="str">
        <f ca="1">IFERROR(__xludf.DUMMYFUNCTION("""COMPUTED_VALUE"""),"MA MHLONGWANE")</f>
        <v>MA MHLONGWANE</v>
      </c>
      <c r="U164" s="1"/>
      <c r="V164" s="1" t="str">
        <f ca="1">IFERROR(__xludf.DUMMYFUNCTION("""COMPUTED_VALUE"""),"Fnb493")</f>
        <v>Fnb493</v>
      </c>
      <c r="W164" s="1" t="str">
        <f ca="1">IFERROR(__xludf.DUMMYFUNCTION("""COMPUTED_VALUE"""),"Collected and delivery will be 17th")</f>
        <v>Collected and delivery will be 17th</v>
      </c>
      <c r="X164" s="1"/>
      <c r="Y164" s="1"/>
      <c r="Z164" s="4" t="str">
        <f ca="1">IFERROR(__xludf.DUMMYFUNCTION("""COMPUTED_VALUE"""),"#VALUE!")</f>
        <v>#VALUE!</v>
      </c>
    </row>
    <row r="165" spans="1:26" x14ac:dyDescent="0.3">
      <c r="A165" s="1" t="str">
        <f ca="1">IFERROR(__xludf.DUMMYFUNCTION("""COMPUTED_VALUE"""),"DL145")</f>
        <v>DL145</v>
      </c>
      <c r="B165" s="1" t="str">
        <f ca="1">IFERROR(__xludf.DUMMYFUNCTION("""COMPUTED_VALUE"""),"VYKON (PTY) LTD")</f>
        <v>VYKON (PTY) LTD</v>
      </c>
      <c r="C165" s="1" t="str">
        <f ca="1">IFERROR(__xludf.DUMMYFUNCTION("""COMPUTED_VALUE"""),"Delivered")</f>
        <v>Delivered</v>
      </c>
      <c r="D165" s="3">
        <f ca="1">IFERROR(__xludf.DUMMYFUNCTION("""COMPUTED_VALUE"""),45439)</f>
        <v>45439</v>
      </c>
      <c r="E165" s="1" t="str">
        <f ca="1">IFERROR(__xludf.DUMMYFUNCTION("""COMPUTED_VALUE"""),"Shenzhen")</f>
        <v>Shenzhen</v>
      </c>
      <c r="F165" s="1" t="str">
        <f ca="1">IFERROR(__xludf.DUMMYFUNCTION("""COMPUTED_VALUE"""),"Durban")</f>
        <v>Durban</v>
      </c>
      <c r="G165" s="3">
        <f ca="1">IFERROR(__xludf.DUMMYFUNCTION("""COMPUTED_VALUE"""),45477)</f>
        <v>45477</v>
      </c>
      <c r="H165" s="3">
        <f ca="1">IFERROR(__xludf.DUMMYFUNCTION("""COMPUTED_VALUE"""),45477)</f>
        <v>45477</v>
      </c>
      <c r="I165" s="1" t="str">
        <f ca="1">IFERROR(__xludf.DUMMYFUNCTION("""COMPUTED_VALUE"""),"OBD Logistics")</f>
        <v>OBD Logistics</v>
      </c>
      <c r="J165" s="1" t="str">
        <f ca="1">IFERROR(__xludf.DUMMYFUNCTION("""COMPUTED_VALUE"""),"Sea")</f>
        <v>Sea</v>
      </c>
      <c r="K165" s="1" t="str">
        <f ca="1">IFERROR(__xludf.DUMMYFUNCTION("""COMPUTED_VALUE"""),"CMA CGM SHIPPING AGENCIES SOUTH AFRICA (PTY) LTD")</f>
        <v>CMA CGM SHIPPING AGENCIES SOUTH AFRICA (PTY) LTD</v>
      </c>
      <c r="L165" s="1" t="str">
        <f ca="1">IFERROR(__xludf.DUMMYFUNCTION("""COMPUTED_VALUE"""),"CMA CGM MEKONG")</f>
        <v>CMA CGM MEKONG</v>
      </c>
      <c r="M165" s="1" t="str">
        <f ca="1">IFERROR(__xludf.DUMMYFUNCTION("""COMPUTED_VALUE"""),"SHZ6170461")</f>
        <v>SHZ6170461</v>
      </c>
      <c r="N165" s="1" t="str">
        <f ca="1">IFERROR(__xludf.DUMMYFUNCTION("""COMPUTED_VALUE"""),"AMIGL240193511A")</f>
        <v>AMIGL240193511A</v>
      </c>
      <c r="O165" s="1" t="str">
        <f ca="1">IFERROR(__xludf.DUMMYFUNCTION("""COMPUTED_VALUE"""),"Express Bill of Lading")</f>
        <v>Express Bill of Lading</v>
      </c>
      <c r="P165" s="1" t="str">
        <f ca="1">IFERROR(__xludf.DUMMYFUNCTION("""COMPUTED_VALUE"""),"CGMU5382378")</f>
        <v>CGMU5382378</v>
      </c>
      <c r="Q165" s="1" t="str">
        <f ca="1">IFERROR(__xludf.DUMMYFUNCTION("""COMPUTED_VALUE"""),"R6664159")</f>
        <v>R6664159</v>
      </c>
      <c r="R165" s="1" t="str">
        <f ca="1">IFERROR(__xludf.DUMMYFUNCTION("""COMPUTED_VALUE"""),"CONTRA CONSOLIDATIONS")</f>
        <v>CONTRA CONSOLIDATIONS</v>
      </c>
      <c r="S165" s="1" t="str">
        <f ca="1">IFERROR(__xludf.DUMMYFUNCTION("""COMPUTED_VALUE"""),"Asia Direct")</f>
        <v>Asia Direct</v>
      </c>
      <c r="T165" s="1"/>
      <c r="U165" s="1"/>
      <c r="V165" s="1"/>
      <c r="W165" s="1"/>
      <c r="X165" s="1"/>
      <c r="Y165" s="1"/>
      <c r="Z165" s="4" t="str">
        <f ca="1">IFERROR(__xludf.DUMMYFUNCTION("""COMPUTED_VALUE"""),"#VALUE!")</f>
        <v>#VALUE!</v>
      </c>
    </row>
    <row r="166" spans="1:26" x14ac:dyDescent="0.3">
      <c r="A166" s="1" t="str">
        <f ca="1">IFERROR(__xludf.DUMMYFUNCTION("""COMPUTED_VALUE"""),"DL149")</f>
        <v>DL149</v>
      </c>
      <c r="B166" s="1" t="str">
        <f ca="1">IFERROR(__xludf.DUMMYFUNCTION("""COMPUTED_VALUE"""),"Brad Gift Mokgalaka")</f>
        <v>Brad Gift Mokgalaka</v>
      </c>
      <c r="C166" s="1" t="str">
        <f ca="1">IFERROR(__xludf.DUMMYFUNCTION("""COMPUTED_VALUE"""),"Delivered")</f>
        <v>Delivered</v>
      </c>
      <c r="D166" s="3">
        <f ca="1">IFERROR(__xludf.DUMMYFUNCTION("""COMPUTED_VALUE"""),45439)</f>
        <v>45439</v>
      </c>
      <c r="E166" s="1" t="str">
        <f ca="1">IFERROR(__xludf.DUMMYFUNCTION("""COMPUTED_VALUE"""),"Shenzhen")</f>
        <v>Shenzhen</v>
      </c>
      <c r="F166" s="1" t="str">
        <f ca="1">IFERROR(__xludf.DUMMYFUNCTION("""COMPUTED_VALUE"""),"Durban")</f>
        <v>Durban</v>
      </c>
      <c r="G166" s="3">
        <f ca="1">IFERROR(__xludf.DUMMYFUNCTION("""COMPUTED_VALUE"""),45469)</f>
        <v>45469</v>
      </c>
      <c r="H166" s="3">
        <f ca="1">IFERROR(__xludf.DUMMYFUNCTION("""COMPUTED_VALUE"""),45476)</f>
        <v>45476</v>
      </c>
      <c r="I166" s="1" t="str">
        <f ca="1">IFERROR(__xludf.DUMMYFUNCTION("""COMPUTED_VALUE"""),"OBD Logistics")</f>
        <v>OBD Logistics</v>
      </c>
      <c r="J166" s="1" t="str">
        <f ca="1">IFERROR(__xludf.DUMMYFUNCTION("""COMPUTED_VALUE"""),"Sea")</f>
        <v>Sea</v>
      </c>
      <c r="K166" s="1" t="str">
        <f ca="1">IFERROR(__xludf.DUMMYFUNCTION("""COMPUTED_VALUE"""),"CMA CGM SHIPPING AGENCIES SOUTH AFRICA (PTY) LTD")</f>
        <v>CMA CGM SHIPPING AGENCIES SOUTH AFRICA (PTY) LTD</v>
      </c>
      <c r="L166" s="1" t="str">
        <f ca="1">IFERROR(__xludf.DUMMYFUNCTION("""COMPUTED_VALUE"""),"CMA CGM MEKONG")</f>
        <v>CMA CGM MEKONG</v>
      </c>
      <c r="M166" s="1" t="str">
        <f ca="1">IFERROR(__xludf.DUMMYFUNCTION("""COMPUTED_VALUE"""),"SHZ6170461")</f>
        <v>SHZ6170461</v>
      </c>
      <c r="N166" s="1" t="str">
        <f ca="1">IFERROR(__xludf.DUMMYFUNCTION("""COMPUTED_VALUE"""),"AMIGL240193511A")</f>
        <v>AMIGL240193511A</v>
      </c>
      <c r="O166" s="1" t="str">
        <f ca="1">IFERROR(__xludf.DUMMYFUNCTION("""COMPUTED_VALUE"""),"Express Bill of Lading")</f>
        <v>Express Bill of Lading</v>
      </c>
      <c r="P166" s="1" t="str">
        <f ca="1">IFERROR(__xludf.DUMMYFUNCTION("""COMPUTED_VALUE"""),"CGMU5382378")</f>
        <v>CGMU5382378</v>
      </c>
      <c r="Q166" s="1" t="str">
        <f ca="1">IFERROR(__xludf.DUMMYFUNCTION("""COMPUTED_VALUE"""),"R6664159")</f>
        <v>R6664159</v>
      </c>
      <c r="R166" s="1" t="str">
        <f ca="1">IFERROR(__xludf.DUMMYFUNCTION("""COMPUTED_VALUE"""),"INDEPENDENT WAREHOUSING SOLUTIONS")</f>
        <v>INDEPENDENT WAREHOUSING SOLUTIONS</v>
      </c>
      <c r="S166" s="1" t="str">
        <f ca="1">IFERROR(__xludf.DUMMYFUNCTION("""COMPUTED_VALUE"""),"Greens Transport")</f>
        <v>Greens Transport</v>
      </c>
      <c r="T166" s="1" t="str">
        <f ca="1">IFERROR(__xludf.DUMMYFUNCTION("""COMPUTED_VALUE"""),"Green Hassan Jara")</f>
        <v>Green Hassan Jara</v>
      </c>
      <c r="U166" s="1" t="str">
        <f ca="1">IFERROR(__xludf.DUMMYFUNCTION("""COMPUTED_VALUE"""),"AE512541")</f>
        <v>AE512541</v>
      </c>
      <c r="V166" s="1" t="str">
        <f ca="1">IFERROR(__xludf.DUMMYFUNCTION("""COMPUTED_VALUE"""),"JV 14 RR GP")</f>
        <v>JV 14 RR GP</v>
      </c>
      <c r="W166" s="1"/>
      <c r="X166" s="1"/>
      <c r="Y166" s="1"/>
      <c r="Z166" s="4" t="str">
        <f ca="1">IFERROR(__xludf.DUMMYFUNCTION("""COMPUTED_VALUE"""),"#VALUE!")</f>
        <v>#VALUE!</v>
      </c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 t="str">
        <f ca="1">IFERROR(__xludf.DUMMYFUNCTION("""COMPUTED_VALUE"""),"DL139")</f>
        <v>DL139</v>
      </c>
      <c r="B168" s="1" t="str">
        <f ca="1">IFERROR(__xludf.DUMMYFUNCTION("""COMPUTED_VALUE"""),"TOP TECH CATERING")</f>
        <v>TOP TECH CATERING</v>
      </c>
      <c r="C168" s="1" t="str">
        <f ca="1">IFERROR(__xludf.DUMMYFUNCTION("""COMPUTED_VALUE"""),"Delivered")</f>
        <v>Delivered</v>
      </c>
      <c r="D168" s="3">
        <f ca="1">IFERROR(__xludf.DUMMYFUNCTION("""COMPUTED_VALUE"""),45384)</f>
        <v>45384</v>
      </c>
      <c r="E168" s="1" t="str">
        <f ca="1">IFERROR(__xludf.DUMMYFUNCTION("""COMPUTED_VALUE"""),"Shekou")</f>
        <v>Shekou</v>
      </c>
      <c r="F168" s="1" t="str">
        <f ca="1">IFERROR(__xludf.DUMMYFUNCTION("""COMPUTED_VALUE"""),"Durban")</f>
        <v>Durban</v>
      </c>
      <c r="G168" s="3">
        <f ca="1">IFERROR(__xludf.DUMMYFUNCTION("""COMPUTED_VALUE"""),45419)</f>
        <v>45419</v>
      </c>
      <c r="H168" s="3">
        <f ca="1">IFERROR(__xludf.DUMMYFUNCTION("""COMPUTED_VALUE"""),45427)</f>
        <v>45427</v>
      </c>
      <c r="I168" s="1" t="str">
        <f ca="1">IFERROR(__xludf.DUMMYFUNCTION("""COMPUTED_VALUE"""),"OBD Logistics")</f>
        <v>OBD Logistics</v>
      </c>
      <c r="J168" s="1" t="str">
        <f ca="1">IFERROR(__xludf.DUMMYFUNCTION("""COMPUTED_VALUE"""),"Sea")</f>
        <v>Sea</v>
      </c>
      <c r="K168" s="1" t="str">
        <f ca="1">IFERROR(__xludf.DUMMYFUNCTION("""COMPUTED_VALUE"""),"OOCL")</f>
        <v>OOCL</v>
      </c>
      <c r="L168" s="1" t="str">
        <f ca="1">IFERROR(__xludf.DUMMYFUNCTION("""COMPUTED_VALUE"""),"COSCO WELLINGTON 091W-----KOTA LEKAS 058W")</f>
        <v>COSCO WELLINGTON 091W-----KOTA LEKAS 058W</v>
      </c>
      <c r="M168" s="1" t="str">
        <f ca="1">IFERROR(__xludf.DUMMYFUNCTION("""COMPUTED_VALUE"""),"OOLU2735863300")</f>
        <v>OOLU2735863300</v>
      </c>
      <c r="N168" s="1"/>
      <c r="O168" s="1" t="str">
        <f ca="1">IFERROR(__xludf.DUMMYFUNCTION("""COMPUTED_VALUE"""),"Original Bill of Lading")</f>
        <v>Original Bill of Lading</v>
      </c>
      <c r="P168" s="1" t="str">
        <f ca="1">IFERROR(__xludf.DUMMYFUNCTION("""COMPUTED_VALUE"""),"OOLU9754354")</f>
        <v>OOLU9754354</v>
      </c>
      <c r="Q168" s="1" t="str">
        <f ca="1">IFERROR(__xludf.DUMMYFUNCTION("""COMPUTED_VALUE"""),"OOLJJY2789")</f>
        <v>OOLJJY2789</v>
      </c>
      <c r="R168" s="1" t="str">
        <f ca="1">IFERROR(__xludf.DUMMYFUNCTION("""COMPUTED_VALUE"""),"COSCO")</f>
        <v>COSCO</v>
      </c>
      <c r="S168" s="1" t="str">
        <f ca="1">IFERROR(__xludf.DUMMYFUNCTION("""COMPUTED_VALUE"""),"Alpha Shipping")</f>
        <v>Alpha Shipping</v>
      </c>
      <c r="T168" s="1"/>
      <c r="U168" s="1"/>
      <c r="V168" s="1"/>
      <c r="W168" s="1"/>
      <c r="X168" s="1"/>
      <c r="Y168" s="1"/>
      <c r="Z168" s="4" t="str">
        <f ca="1">IFERROR(__xludf.DUMMYFUNCTION("""COMPUTED_VALUE"""),"#VALUE!")</f>
        <v>#VALUE!</v>
      </c>
    </row>
    <row r="169" spans="1:26" x14ac:dyDescent="0.3">
      <c r="A169" s="1" t="str">
        <f ca="1">IFERROR(__xludf.DUMMYFUNCTION("""COMPUTED_VALUE"""),"DL137")</f>
        <v>DL137</v>
      </c>
      <c r="B169" s="1" t="str">
        <f ca="1">IFERROR(__xludf.DUMMYFUNCTION("""COMPUTED_VALUE"""),"~Євген")</f>
        <v>~Євген</v>
      </c>
      <c r="C169" s="1" t="str">
        <f ca="1">IFERROR(__xludf.DUMMYFUNCTION("""COMPUTED_VALUE"""),"Delivered")</f>
        <v>Delivered</v>
      </c>
      <c r="D169" s="3">
        <f ca="1">IFERROR(__xludf.DUMMYFUNCTION("""COMPUTED_VALUE"""),45387)</f>
        <v>45387</v>
      </c>
      <c r="E169" s="1" t="str">
        <f ca="1">IFERROR(__xludf.DUMMYFUNCTION("""COMPUTED_VALUE"""),"Shenzhen")</f>
        <v>Shenzhen</v>
      </c>
      <c r="F169" s="1" t="str">
        <f ca="1">IFERROR(__xludf.DUMMYFUNCTION("""COMPUTED_VALUE"""),"Johannesburg")</f>
        <v>Johannesburg</v>
      </c>
      <c r="G169" s="3">
        <f ca="1">IFERROR(__xludf.DUMMYFUNCTION("""COMPUTED_VALUE"""),45446)</f>
        <v>45446</v>
      </c>
      <c r="H169" s="3">
        <f ca="1">IFERROR(__xludf.DUMMYFUNCTION("""COMPUTED_VALUE"""),45446)</f>
        <v>45446</v>
      </c>
      <c r="I169" s="1" t="str">
        <f ca="1">IFERROR(__xludf.DUMMYFUNCTION("""COMPUTED_VALUE"""),"Fedex")</f>
        <v>Fedex</v>
      </c>
      <c r="J169" s="1" t="str">
        <f ca="1">IFERROR(__xludf.DUMMYFUNCTION("""COMPUTED_VALUE"""),"Air")</f>
        <v>Air</v>
      </c>
      <c r="K169" s="1"/>
      <c r="L169" s="1"/>
      <c r="M169" s="1"/>
      <c r="N169" s="1"/>
      <c r="O169" s="1" t="str">
        <f ca="1">IFERROR(__xludf.DUMMYFUNCTION("""COMPUTED_VALUE"""),"Express Bill of Lading")</f>
        <v>Express Bill of Lading</v>
      </c>
      <c r="P169" s="1"/>
      <c r="Q169" s="1"/>
      <c r="R169" s="1" t="str">
        <f ca="1">IFERROR(__xludf.DUMMYFUNCTION("""COMPUTED_VALUE"""),"Fedex")</f>
        <v>Fedex</v>
      </c>
      <c r="S169" s="1" t="str">
        <f ca="1">IFERROR(__xludf.DUMMYFUNCTION("""COMPUTED_VALUE"""),"Asia Direct")</f>
        <v>Asia Direct</v>
      </c>
      <c r="T169" s="1"/>
      <c r="U169" s="1"/>
      <c r="V169" s="1"/>
      <c r="W169" s="1" t="str">
        <f ca="1">IFERROR(__xludf.DUMMYFUNCTION("""COMPUTED_VALUE"""),"The blanket is at our warehouse")</f>
        <v>The blanket is at our warehouse</v>
      </c>
      <c r="X169" s="1"/>
      <c r="Y169" s="1"/>
      <c r="Z169" s="4" t="str">
        <f ca="1">IFERROR(__xludf.DUMMYFUNCTION("""COMPUTED_VALUE"""),"#VALUE!")</f>
        <v>#VALUE!</v>
      </c>
    </row>
    <row r="170" spans="1:26" x14ac:dyDescent="0.3">
      <c r="A170" s="1" t="str">
        <f ca="1">IFERROR(__xludf.DUMMYFUNCTION("""COMPUTED_VALUE"""),"DL150")</f>
        <v>DL150</v>
      </c>
      <c r="B170" s="1" t="str">
        <f ca="1">IFERROR(__xludf.DUMMYFUNCTION("""COMPUTED_VALUE"""),"Greatcon (PTY) Ltd")</f>
        <v>Greatcon (PTY) Ltd</v>
      </c>
      <c r="C170" s="1" t="str">
        <f ca="1">IFERROR(__xludf.DUMMYFUNCTION("""COMPUTED_VALUE"""),"At Local Port")</f>
        <v>At Local Port</v>
      </c>
      <c r="D170" s="3">
        <f ca="1">IFERROR(__xludf.DUMMYFUNCTION("""COMPUTED_VALUE"""),45428)</f>
        <v>45428</v>
      </c>
      <c r="E170" s="1" t="str">
        <f ca="1">IFERROR(__xludf.DUMMYFUNCTION("""COMPUTED_VALUE"""),"Tianjin")</f>
        <v>Tianjin</v>
      </c>
      <c r="F170" s="1" t="str">
        <f ca="1">IFERROR(__xludf.DUMMYFUNCTION("""COMPUTED_VALUE"""),"Durban")</f>
        <v>Durban</v>
      </c>
      <c r="G170" s="3">
        <f ca="1">IFERROR(__xludf.DUMMYFUNCTION("""COMPUTED_VALUE"""),45475)</f>
        <v>45475</v>
      </c>
      <c r="H170" s="3">
        <f ca="1">IFERROR(__xludf.DUMMYFUNCTION("""COMPUTED_VALUE"""),45475)</f>
        <v>45475</v>
      </c>
      <c r="I170" s="1" t="str">
        <f ca="1">IFERROR(__xludf.DUMMYFUNCTION("""COMPUTED_VALUE"""),"Shenzhen Nimbus")</f>
        <v>Shenzhen Nimbus</v>
      </c>
      <c r="J170" s="1" t="str">
        <f ca="1">IFERROR(__xludf.DUMMYFUNCTION("""COMPUTED_VALUE"""),"Sea")</f>
        <v>Sea</v>
      </c>
      <c r="K170" s="1"/>
      <c r="L170" s="1" t="str">
        <f ca="1">IFERROR(__xludf.DUMMYFUNCTION("""COMPUTED_VALUE"""),"SAN FELIPE")</f>
        <v>SAN FELIPE</v>
      </c>
      <c r="M170" s="1" t="str">
        <f ca="1">IFERROR(__xludf.DUMMYFUNCTION("""COMPUTED_VALUE"""),"278315274")</f>
        <v>278315274</v>
      </c>
      <c r="N170" s="1" t="str">
        <f ca="1">IFERROR(__xludf.DUMMYFUNCTION("""COMPUTED_VALUE"""),"278315274")</f>
        <v>278315274</v>
      </c>
      <c r="O170" s="1" t="str">
        <f ca="1">IFERROR(__xludf.DUMMYFUNCTION("""COMPUTED_VALUE"""),"Express Bill of Lading")</f>
        <v>Express Bill of Lading</v>
      </c>
      <c r="P170" s="1" t="str">
        <f ca="1">IFERROR(__xludf.DUMMYFUNCTION("""COMPUTED_VALUE"""),"MRSU3998250")</f>
        <v>MRSU3998250</v>
      </c>
      <c r="Q170" s="1" t="str">
        <f ca="1">IFERROR(__xludf.DUMMYFUNCTION("""COMPUTED_VALUE"""),"ML-CN6166692")</f>
        <v>ML-CN6166692</v>
      </c>
      <c r="R170" s="1" t="str">
        <f ca="1">IFERROR(__xludf.DUMMYFUNCTION("""COMPUTED_VALUE"""),"Maersk Line")</f>
        <v>Maersk Line</v>
      </c>
      <c r="S170" s="1" t="str">
        <f ca="1">IFERROR(__xludf.DUMMYFUNCTION("""COMPUTED_VALUE"""),"SEALAND TRANSPORT SERVICES")</f>
        <v>SEALAND TRANSPORT SERVICES</v>
      </c>
      <c r="T170" s="1" t="str">
        <f ca="1">IFERROR(__xludf.DUMMYFUNCTION("""COMPUTED_VALUE"""),"Navis")</f>
        <v>Navis</v>
      </c>
      <c r="U170" s="1"/>
      <c r="V170" s="1"/>
      <c r="W170" s="1"/>
      <c r="X170" s="1"/>
      <c r="Y170" s="1"/>
      <c r="Z170" s="4" t="str">
        <f ca="1">IFERROR(__xludf.DUMMYFUNCTION("""COMPUTED_VALUE"""),"#VALUE!")</f>
        <v>#VALUE!</v>
      </c>
    </row>
    <row r="171" spans="1:26" x14ac:dyDescent="0.3">
      <c r="A171" s="1" t="str">
        <f ca="1">IFERROR(__xludf.DUMMYFUNCTION("""COMPUTED_VALUE"""),"DL135")</f>
        <v>DL135</v>
      </c>
      <c r="B171" s="1" t="str">
        <f ca="1">IFERROR(__xludf.DUMMYFUNCTION("""COMPUTED_VALUE"""),"KONE AND JC")</f>
        <v>KONE AND JC</v>
      </c>
      <c r="C171" s="1" t="str">
        <f ca="1">IFERROR(__xludf.DUMMYFUNCTION("""COMPUTED_VALUE"""),"Delivered")</f>
        <v>Delivered</v>
      </c>
      <c r="D171" s="3">
        <f ca="1">IFERROR(__xludf.DUMMYFUNCTION("""COMPUTED_VALUE"""),45382)</f>
        <v>45382</v>
      </c>
      <c r="E171" s="1" t="str">
        <f ca="1">IFERROR(__xludf.DUMMYFUNCTION("""COMPUTED_VALUE"""),"Qingdao")</f>
        <v>Qingdao</v>
      </c>
      <c r="F171" s="1" t="str">
        <f ca="1">IFERROR(__xludf.DUMMYFUNCTION("""COMPUTED_VALUE"""),"Luanda")</f>
        <v>Luanda</v>
      </c>
      <c r="G171" s="3">
        <f ca="1">IFERROR(__xludf.DUMMYFUNCTION("""COMPUTED_VALUE"""),45432)</f>
        <v>45432</v>
      </c>
      <c r="H171" s="3">
        <f ca="1">IFERROR(__xludf.DUMMYFUNCTION("""COMPUTED_VALUE"""),45402)</f>
        <v>45402</v>
      </c>
      <c r="I171" s="1" t="str">
        <f ca="1">IFERROR(__xludf.DUMMYFUNCTION("""COMPUTED_VALUE"""),"Shenzhen Nimbus")</f>
        <v>Shenzhen Nimbus</v>
      </c>
      <c r="J171" s="1" t="str">
        <f ca="1">IFERROR(__xludf.DUMMYFUNCTION("""COMPUTED_VALUE"""),"Sea")</f>
        <v>Sea</v>
      </c>
      <c r="K171" s="1"/>
      <c r="L171" s="1" t="str">
        <f ca="1">IFERROR(__xludf.DUMMYFUNCTION("""COMPUTED_VALUE"""),"COSCO KOREA")</f>
        <v>COSCO KOREA</v>
      </c>
      <c r="M171" s="1"/>
      <c r="N171" s="1" t="str">
        <f ca="1">IFERROR(__xludf.DUMMYFUNCTION("""COMPUTED_VALUE"""),"278019631")</f>
        <v>278019631</v>
      </c>
      <c r="O171" s="1" t="str">
        <f ca="1">IFERROR(__xludf.DUMMYFUNCTION("""COMPUTED_VALUE"""),"Express Bill of Lading")</f>
        <v>Express Bill of Lading</v>
      </c>
      <c r="P171" s="1" t="str">
        <f ca="1">IFERROR(__xludf.DUMMYFUNCTION("""COMPUTED_VALUE"""),"CN6310388 /")</f>
        <v>CN6310388 /</v>
      </c>
      <c r="Q171" s="1"/>
      <c r="R171" s="1" t="str">
        <f ca="1">IFERROR(__xludf.DUMMYFUNCTION("""COMPUTED_VALUE"""),"Maersk Line")</f>
        <v>Maersk Line</v>
      </c>
      <c r="S171" s="1"/>
      <c r="T171" s="1"/>
      <c r="U171" s="1"/>
      <c r="V171" s="1"/>
      <c r="W171" s="1"/>
      <c r="X171" s="1"/>
      <c r="Y171" s="1"/>
      <c r="Z171" s="4" t="str">
        <f ca="1">IFERROR(__xludf.DUMMYFUNCTION("""COMPUTED_VALUE"""),"#VALUE!")</f>
        <v>#VALUE!</v>
      </c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 t="str">
        <f ca="1">IFERROR(__xludf.DUMMYFUNCTION("""COMPUTED_VALUE"""),"DL155")</f>
        <v>DL155</v>
      </c>
      <c r="B174" s="1" t="str">
        <f ca="1">IFERROR(__xludf.DUMMYFUNCTION("""COMPUTED_VALUE"""),"Steven")</f>
        <v>Steven</v>
      </c>
      <c r="C174" s="1"/>
      <c r="D174" s="3">
        <f ca="1">IFERROR(__xludf.DUMMYFUNCTION("""COMPUTED_VALUE"""),45406)</f>
        <v>45406</v>
      </c>
      <c r="E174" s="1" t="str">
        <f ca="1">IFERROR(__xludf.DUMMYFUNCTION("""COMPUTED_VALUE"""),"OR Tambo")</f>
        <v>OR Tambo</v>
      </c>
      <c r="F174" s="1" t="str">
        <f ca="1">IFERROR(__xludf.DUMMYFUNCTION("""COMPUTED_VALUE"""),"Shenzhen")</f>
        <v>Shenzhen</v>
      </c>
      <c r="G174" s="3">
        <f ca="1">IFERROR(__xludf.DUMMYFUNCTION("""COMPUTED_VALUE"""),45409)</f>
        <v>45409</v>
      </c>
      <c r="H174" s="3">
        <f ca="1">IFERROR(__xludf.DUMMYFUNCTION("""COMPUTED_VALUE"""),45409)</f>
        <v>45409</v>
      </c>
      <c r="I174" s="1" t="str">
        <f ca="1">IFERROR(__xludf.DUMMYFUNCTION("""COMPUTED_VALUE"""),"SACO CFR")</f>
        <v>SACO CFR</v>
      </c>
      <c r="J174" s="1" t="str">
        <f ca="1">IFERROR(__xludf.DUMMYFUNCTION("""COMPUTED_VALUE"""),"Air")</f>
        <v>Air</v>
      </c>
      <c r="K174" s="1" t="str">
        <f ca="1">IFERROR(__xludf.DUMMYFUNCTION("""COMPUTED_VALUE"""),"CA868")</f>
        <v>CA868</v>
      </c>
      <c r="L174" s="1" t="str">
        <f ca="1">IFERROR(__xludf.DUMMYFUNCTION("""COMPUTED_VALUE"""),"AIR CHINA")</f>
        <v>AIR CHINA</v>
      </c>
      <c r="M174" s="1" t="str">
        <f ca="1">IFERROR(__xludf.DUMMYFUNCTION("""COMPUTED_VALUE"""),"999-06388126")</f>
        <v>999-06388126</v>
      </c>
      <c r="N174" s="1" t="str">
        <f ca="1">IFERROR(__xludf.DUMMYFUNCTION("""COMPUTED_VALUE"""),"999-06388126")</f>
        <v>999-06388126</v>
      </c>
      <c r="O174" s="1" t="str">
        <f ca="1">IFERROR(__xludf.DUMMYFUNCTION("""COMPUTED_VALUE"""),"Express Bill of Lading")</f>
        <v>Express Bill of Lading</v>
      </c>
      <c r="P174" s="1" t="str">
        <f ca="1">IFERROR(__xludf.DUMMYFUNCTION("""COMPUTED_VALUE"""),"999-06388126")</f>
        <v>999-06388126</v>
      </c>
      <c r="Q174" s="1"/>
      <c r="R174" s="1" t="str">
        <f ca="1">IFERROR(__xludf.DUMMYFUNCTION("""COMPUTED_VALUE"""),"CFR")</f>
        <v>CFR</v>
      </c>
      <c r="S174" s="1" t="str">
        <f ca="1">IFERROR(__xludf.DUMMYFUNCTION("""COMPUTED_VALUE"""),"Asia Direct")</f>
        <v>Asia Direct</v>
      </c>
      <c r="T174" s="1"/>
      <c r="U174" s="1"/>
      <c r="V174" s="1"/>
      <c r="W174" s="1" t="str">
        <f ca="1">IFERROR(__xludf.DUMMYFUNCTION("""COMPUTED_VALUE"""),"The shipment was cancelled")</f>
        <v>The shipment was cancelled</v>
      </c>
      <c r="X174" s="1"/>
      <c r="Y174" s="1"/>
      <c r="Z174" s="4" t="str">
        <f ca="1">IFERROR(__xludf.DUMMYFUNCTION("""COMPUTED_VALUE"""),"#VALUE!")</f>
        <v>#VALUE!</v>
      </c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 t="str">
        <f ca="1">IFERROR(__xludf.DUMMYFUNCTION("""COMPUTED_VALUE"""),"DL156")</f>
        <v>DL156</v>
      </c>
      <c r="B176" s="1" t="str">
        <f ca="1">IFERROR(__xludf.DUMMYFUNCTION("""COMPUTED_VALUE"""),"LUMI")</f>
        <v>LUMI</v>
      </c>
      <c r="C176" s="1" t="str">
        <f ca="1">IFERROR(__xludf.DUMMYFUNCTION("""COMPUTED_VALUE"""),"On-carriage")</f>
        <v>On-carriage</v>
      </c>
      <c r="D176" s="3">
        <f ca="1">IFERROR(__xludf.DUMMYFUNCTION("""COMPUTED_VALUE"""),45439)</f>
        <v>45439</v>
      </c>
      <c r="E176" s="1" t="str">
        <f ca="1">IFERROR(__xludf.DUMMYFUNCTION("""COMPUTED_VALUE"""),"Shenzhen")</f>
        <v>Shenzhen</v>
      </c>
      <c r="F176" s="1" t="str">
        <f ca="1">IFERROR(__xludf.DUMMYFUNCTION("""COMPUTED_VALUE"""),"Durban")</f>
        <v>Durban</v>
      </c>
      <c r="G176" s="3">
        <f ca="1">IFERROR(__xludf.DUMMYFUNCTION("""COMPUTED_VALUE"""),45467)</f>
        <v>45467</v>
      </c>
      <c r="H176" s="3">
        <f ca="1">IFERROR(__xludf.DUMMYFUNCTION("""COMPUTED_VALUE"""),45442)</f>
        <v>45442</v>
      </c>
      <c r="I176" s="1" t="str">
        <f ca="1">IFERROR(__xludf.DUMMYFUNCTION("""COMPUTED_VALUE"""),"OBD Logistics")</f>
        <v>OBD Logistics</v>
      </c>
      <c r="J176" s="1" t="str">
        <f ca="1">IFERROR(__xludf.DUMMYFUNCTION("""COMPUTED_VALUE"""),"Sea")</f>
        <v>Sea</v>
      </c>
      <c r="K176" s="1" t="str">
        <f ca="1">IFERROR(__xludf.DUMMYFUNCTION("""COMPUTED_VALUE"""),"CMA CGM SHIPPING AGENCIES SOUTH AFRICA (PTY) LTD")</f>
        <v>CMA CGM SHIPPING AGENCIES SOUTH AFRICA (PTY) LTD</v>
      </c>
      <c r="L176" s="1" t="str">
        <f ca="1">IFERROR(__xludf.DUMMYFUNCTION("""COMPUTED_VALUE"""),"CMA CGM MEKONG")</f>
        <v>CMA CGM MEKONG</v>
      </c>
      <c r="M176" s="1" t="str">
        <f ca="1">IFERROR(__xludf.DUMMYFUNCTION("""COMPUTED_VALUE"""),"SHZ6170461")</f>
        <v>SHZ6170461</v>
      </c>
      <c r="N176" s="1" t="str">
        <f ca="1">IFERROR(__xludf.DUMMYFUNCTION("""COMPUTED_VALUE"""),"AMIGL240193511A")</f>
        <v>AMIGL240193511A</v>
      </c>
      <c r="O176" s="1" t="str">
        <f ca="1">IFERROR(__xludf.DUMMYFUNCTION("""COMPUTED_VALUE"""),"Express Bill of Lading")</f>
        <v>Express Bill of Lading</v>
      </c>
      <c r="P176" s="1" t="str">
        <f ca="1">IFERROR(__xludf.DUMMYFUNCTION("""COMPUTED_VALUE"""),"CGMU5382378")</f>
        <v>CGMU5382378</v>
      </c>
      <c r="Q176" s="1" t="str">
        <f ca="1">IFERROR(__xludf.DUMMYFUNCTION("""COMPUTED_VALUE"""),"R6664159")</f>
        <v>R6664159</v>
      </c>
      <c r="R176" s="1" t="str">
        <f ca="1">IFERROR(__xludf.DUMMYFUNCTION("""COMPUTED_VALUE"""),"CONTRA CONSOLIDATIONS")</f>
        <v>CONTRA CONSOLIDATIONS</v>
      </c>
      <c r="S176" s="1" t="str">
        <f ca="1">IFERROR(__xludf.DUMMYFUNCTION("""COMPUTED_VALUE"""),"Asia Direct")</f>
        <v>Asia Direct</v>
      </c>
      <c r="T176" s="1"/>
      <c r="U176" s="1"/>
      <c r="V176" s="1"/>
      <c r="W176" s="1"/>
      <c r="X176" s="1"/>
      <c r="Y176" s="1"/>
      <c r="Z176" s="4" t="str">
        <f ca="1">IFERROR(__xludf.DUMMYFUNCTION("""COMPUTED_VALUE"""),"#VALUE!")</f>
        <v>#VALUE!</v>
      </c>
    </row>
    <row r="177" spans="1:26" x14ac:dyDescent="0.3">
      <c r="A177" s="1" t="str">
        <f ca="1">IFERROR(__xludf.DUMMYFUNCTION("""COMPUTED_VALUE"""),"DL158")</f>
        <v>DL158</v>
      </c>
      <c r="B177" s="1" t="str">
        <f ca="1">IFERROR(__xludf.DUMMYFUNCTION("""COMPUTED_VALUE"""),"African Technopreneurs")</f>
        <v>African Technopreneurs</v>
      </c>
      <c r="C177" s="1" t="str">
        <f ca="1">IFERROR(__xludf.DUMMYFUNCTION("""COMPUTED_VALUE"""),"Delivered")</f>
        <v>Delivered</v>
      </c>
      <c r="D177" s="3">
        <f ca="1">IFERROR(__xludf.DUMMYFUNCTION("""COMPUTED_VALUE"""),45406)</f>
        <v>45406</v>
      </c>
      <c r="E177" s="1" t="str">
        <f ca="1">IFERROR(__xludf.DUMMYFUNCTION("""COMPUTED_VALUE"""),"OR Tambo")</f>
        <v>OR Tambo</v>
      </c>
      <c r="F177" s="1"/>
      <c r="G177" s="3">
        <f ca="1">IFERROR(__xludf.DUMMYFUNCTION("""COMPUTED_VALUE"""),45417)</f>
        <v>45417</v>
      </c>
      <c r="H177" s="3">
        <f ca="1">IFERROR(__xludf.DUMMYFUNCTION("""COMPUTED_VALUE"""),45417)</f>
        <v>45417</v>
      </c>
      <c r="I177" s="1" t="str">
        <f ca="1">IFERROR(__xludf.DUMMYFUNCTION("""COMPUTED_VALUE"""),"Fedex")</f>
        <v>Fedex</v>
      </c>
      <c r="J177" s="1" t="str">
        <f ca="1">IFERROR(__xludf.DUMMYFUNCTION("""COMPUTED_VALUE"""),"Air")</f>
        <v>Air</v>
      </c>
      <c r="K177" s="1"/>
      <c r="L177" s="1"/>
      <c r="M177" s="1" t="str">
        <f ca="1">IFERROR(__xludf.DUMMYFUNCTION("""COMPUTED_VALUE"""),"776072974238")</f>
        <v>776072974238</v>
      </c>
      <c r="N177" s="1" t="str">
        <f ca="1">IFERROR(__xludf.DUMMYFUNCTION("""COMPUTED_VALUE"""),"776072974238")</f>
        <v>776072974238</v>
      </c>
      <c r="O177" s="1" t="str">
        <f ca="1">IFERROR(__xludf.DUMMYFUNCTION("""COMPUTED_VALUE"""),"Express Bill of Lading")</f>
        <v>Express Bill of Lading</v>
      </c>
      <c r="P177" s="1" t="str">
        <f ca="1">IFERROR(__xludf.DUMMYFUNCTION("""COMPUTED_VALUE"""),"776072974238.")</f>
        <v>776072974238.</v>
      </c>
      <c r="Q177" s="1"/>
      <c r="R177" s="1" t="str">
        <f ca="1">IFERROR(__xludf.DUMMYFUNCTION("""COMPUTED_VALUE"""),"Fedex")</f>
        <v>Fedex</v>
      </c>
      <c r="S177" s="1"/>
      <c r="T177" s="1"/>
      <c r="U177" s="1"/>
      <c r="V177" s="1"/>
      <c r="W177" s="1"/>
      <c r="X177" s="1"/>
      <c r="Y177" s="1"/>
      <c r="Z177" s="4" t="str">
        <f ca="1">IFERROR(__xludf.DUMMYFUNCTION("""COMPUTED_VALUE"""),"#VALUE!")</f>
        <v>#VALUE!</v>
      </c>
    </row>
    <row r="178" spans="1:26" x14ac:dyDescent="0.3">
      <c r="A178" s="1" t="str">
        <f ca="1">IFERROR(__xludf.DUMMYFUNCTION("""COMPUTED_VALUE"""),"DL157")</f>
        <v>DL157</v>
      </c>
      <c r="B178" s="1" t="str">
        <f ca="1">IFERROR(__xludf.DUMMYFUNCTION("""COMPUTED_VALUE"""),"Mpumatech Stainless Tube (Pty) Ltd")</f>
        <v>Mpumatech Stainless Tube (Pty) Ltd</v>
      </c>
      <c r="C178" s="1" t="str">
        <f ca="1">IFERROR(__xludf.DUMMYFUNCTION("""COMPUTED_VALUE"""),"Delivered")</f>
        <v>Delivered</v>
      </c>
      <c r="D178" s="3">
        <f ca="1">IFERROR(__xludf.DUMMYFUNCTION("""COMPUTED_VALUE"""),45405)</f>
        <v>45405</v>
      </c>
      <c r="E178" s="1" t="str">
        <f ca="1">IFERROR(__xludf.DUMMYFUNCTION("""COMPUTED_VALUE"""),"OR Tambo")</f>
        <v>OR Tambo</v>
      </c>
      <c r="F178" s="1" t="str">
        <f ca="1">IFERROR(__xludf.DUMMYFUNCTION("""COMPUTED_VALUE"""),"Bamako")</f>
        <v>Bamako</v>
      </c>
      <c r="G178" s="3">
        <f ca="1">IFERROR(__xludf.DUMMYFUNCTION("""COMPUTED_VALUE"""),45438)</f>
        <v>45438</v>
      </c>
      <c r="H178" s="3">
        <f ca="1">IFERROR(__xludf.DUMMYFUNCTION("""COMPUTED_VALUE"""),45438)</f>
        <v>45438</v>
      </c>
      <c r="I178" s="1" t="str">
        <f ca="1">IFERROR(__xludf.DUMMYFUNCTION("""COMPUTED_VALUE"""),"Fedex")</f>
        <v>Fedex</v>
      </c>
      <c r="J178" s="1" t="str">
        <f ca="1">IFERROR(__xludf.DUMMYFUNCTION("""COMPUTED_VALUE"""),"Air")</f>
        <v>Air</v>
      </c>
      <c r="K178" s="1"/>
      <c r="L178" s="1"/>
      <c r="M178" s="1" t="str">
        <f ca="1">IFERROR(__xludf.DUMMYFUNCTION("""COMPUTED_VALUE"""),"7760 6924 5946")</f>
        <v>7760 6924 5946</v>
      </c>
      <c r="N178" s="1" t="str">
        <f ca="1">IFERROR(__xludf.DUMMYFUNCTION("""COMPUTED_VALUE"""),"7760 6924 5946")</f>
        <v>7760 6924 5946</v>
      </c>
      <c r="O178" s="1" t="str">
        <f ca="1">IFERROR(__xludf.DUMMYFUNCTION("""COMPUTED_VALUE"""),"Express Bill of Lading")</f>
        <v>Express Bill of Lading</v>
      </c>
      <c r="P178" s="1" t="str">
        <f ca="1">IFERROR(__xludf.DUMMYFUNCTION("""COMPUTED_VALUE"""),"7760 6924 5946")</f>
        <v>7760 6924 5946</v>
      </c>
      <c r="Q178" s="1"/>
      <c r="R178" s="1"/>
      <c r="S178" s="1"/>
      <c r="T178" s="1"/>
      <c r="U178" s="1"/>
      <c r="V178" s="1"/>
      <c r="W178" s="1"/>
      <c r="X178" s="1"/>
      <c r="Y178" s="1"/>
      <c r="Z178" s="4" t="str">
        <f ca="1">IFERROR(__xludf.DUMMYFUNCTION("""COMPUTED_VALUE"""),"#VALUE!")</f>
        <v>#VALUE!</v>
      </c>
    </row>
    <row r="179" spans="1:26" x14ac:dyDescent="0.3">
      <c r="A179" s="1" t="str">
        <f ca="1">IFERROR(__xludf.DUMMYFUNCTION("""COMPUTED_VALUE"""),"DL159")</f>
        <v>DL159</v>
      </c>
      <c r="B179" s="1" t="str">
        <f ca="1">IFERROR(__xludf.DUMMYFUNCTION("""COMPUTED_VALUE"""),"Mpumatech Stainless Tube (Pty) Ltd")</f>
        <v>Mpumatech Stainless Tube (Pty) Ltd</v>
      </c>
      <c r="C179" s="1" t="str">
        <f ca="1">IFERROR(__xludf.DUMMYFUNCTION("""COMPUTED_VALUE"""),"Delivered")</f>
        <v>Delivered</v>
      </c>
      <c r="D179" s="3">
        <f ca="1">IFERROR(__xludf.DUMMYFUNCTION("""COMPUTED_VALUE"""),45411)</f>
        <v>45411</v>
      </c>
      <c r="E179" s="1" t="str">
        <f ca="1">IFERROR(__xludf.DUMMYFUNCTION("""COMPUTED_VALUE"""),"Or Tambo")</f>
        <v>Or Tambo</v>
      </c>
      <c r="F179" s="1" t="str">
        <f ca="1">IFERROR(__xludf.DUMMYFUNCTION("""COMPUTED_VALUE"""),"Bamako")</f>
        <v>Bamako</v>
      </c>
      <c r="G179" s="3">
        <f ca="1">IFERROR(__xludf.DUMMYFUNCTION("""COMPUTED_VALUE"""),45438)</f>
        <v>45438</v>
      </c>
      <c r="H179" s="3">
        <f ca="1">IFERROR(__xludf.DUMMYFUNCTION("""COMPUTED_VALUE"""),45438)</f>
        <v>45438</v>
      </c>
      <c r="I179" s="1" t="str">
        <f ca="1">IFERROR(__xludf.DUMMYFUNCTION("""COMPUTED_VALUE"""),"Fedex")</f>
        <v>Fedex</v>
      </c>
      <c r="J179" s="1" t="str">
        <f ca="1">IFERROR(__xludf.DUMMYFUNCTION("""COMPUTED_VALUE"""),"Air")</f>
        <v>Air</v>
      </c>
      <c r="K179" s="1" t="str">
        <f ca="1">IFERROR(__xludf.DUMMYFUNCTION("""COMPUTED_VALUE"""),"Fedex")</f>
        <v>Fedex</v>
      </c>
      <c r="L179" s="1"/>
      <c r="M179" s="1" t="str">
        <f ca="1">IFERROR(__xludf.DUMMYFUNCTION("""COMPUTED_VALUE"""),"776120420479")</f>
        <v>776120420479</v>
      </c>
      <c r="N179" s="1" t="str">
        <f ca="1">IFERROR(__xludf.DUMMYFUNCTION("""COMPUTED_VALUE"""),"776120420479")</f>
        <v>776120420479</v>
      </c>
      <c r="O179" s="1" t="str">
        <f ca="1">IFERROR(__xludf.DUMMYFUNCTION("""COMPUTED_VALUE"""),"Express Bill of Lading")</f>
        <v>Express Bill of Lading</v>
      </c>
      <c r="P179" s="1" t="str">
        <f ca="1">IFERROR(__xludf.DUMMYFUNCTION("""COMPUTED_VALUE"""),"776120420479")</f>
        <v>776120420479</v>
      </c>
      <c r="Q179" s="1"/>
      <c r="R179" s="1" t="str">
        <f ca="1">IFERROR(__xludf.DUMMYFUNCTION("""COMPUTED_VALUE"""),"Fedex")</f>
        <v>Fedex</v>
      </c>
      <c r="S179" s="1"/>
      <c r="T179" s="1"/>
      <c r="U179" s="1"/>
      <c r="V179" s="1"/>
      <c r="W179" s="1"/>
      <c r="X179" s="1"/>
      <c r="Y179" s="1"/>
      <c r="Z179" s="4" t="str">
        <f ca="1">IFERROR(__xludf.DUMMYFUNCTION("""COMPUTED_VALUE"""),"#VALUE!")</f>
        <v>#VALUE!</v>
      </c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 t="str">
        <f ca="1">IFERROR(__xludf.DUMMYFUNCTION("""COMPUTED_VALUE"""),"DL160")</f>
        <v>DL160</v>
      </c>
      <c r="B181" s="1" t="str">
        <f ca="1">IFERROR(__xludf.DUMMYFUNCTION("""COMPUTED_VALUE"""),"Jimmy Zinhumwe")</f>
        <v>Jimmy Zinhumwe</v>
      </c>
      <c r="C181" s="1" t="str">
        <f ca="1">IFERROR(__xludf.DUMMYFUNCTION("""COMPUTED_VALUE"""),"On-carriage")</f>
        <v>On-carriage</v>
      </c>
      <c r="D181" s="3">
        <f ca="1">IFERROR(__xludf.DUMMYFUNCTION("""COMPUTED_VALUE"""),45439)</f>
        <v>45439</v>
      </c>
      <c r="E181" s="1" t="str">
        <f ca="1">IFERROR(__xludf.DUMMYFUNCTION("""COMPUTED_VALUE"""),"Shenzhen")</f>
        <v>Shenzhen</v>
      </c>
      <c r="F181" s="1" t="str">
        <f ca="1">IFERROR(__xludf.DUMMYFUNCTION("""COMPUTED_VALUE"""),"Durban")</f>
        <v>Durban</v>
      </c>
      <c r="G181" s="3">
        <f ca="1">IFERROR(__xludf.DUMMYFUNCTION("""COMPUTED_VALUE"""),45467)</f>
        <v>45467</v>
      </c>
      <c r="H181" s="3">
        <f ca="1">IFERROR(__xludf.DUMMYFUNCTION("""COMPUTED_VALUE"""),45442)</f>
        <v>45442</v>
      </c>
      <c r="I181" s="1" t="str">
        <f ca="1">IFERROR(__xludf.DUMMYFUNCTION("""COMPUTED_VALUE"""),"OBD Logistics")</f>
        <v>OBD Logistics</v>
      </c>
      <c r="J181" s="1" t="str">
        <f ca="1">IFERROR(__xludf.DUMMYFUNCTION("""COMPUTED_VALUE"""),"Sea")</f>
        <v>Sea</v>
      </c>
      <c r="K181" s="1" t="str">
        <f ca="1">IFERROR(__xludf.DUMMYFUNCTION("""COMPUTED_VALUE"""),"CMA CGM SHIPPING AGENCIES SOUTH AFRICA (PTY) LTD")</f>
        <v>CMA CGM SHIPPING AGENCIES SOUTH AFRICA (PTY) LTD</v>
      </c>
      <c r="L181" s="1" t="str">
        <f ca="1">IFERROR(__xludf.DUMMYFUNCTION("""COMPUTED_VALUE"""),"CMA CGM MEKONG")</f>
        <v>CMA CGM MEKONG</v>
      </c>
      <c r="M181" s="1" t="str">
        <f ca="1">IFERROR(__xludf.DUMMYFUNCTION("""COMPUTED_VALUE"""),"SHZ6170461")</f>
        <v>SHZ6170461</v>
      </c>
      <c r="N181" s="1" t="str">
        <f ca="1">IFERROR(__xludf.DUMMYFUNCTION("""COMPUTED_VALUE"""),"AMIGL240193511A")</f>
        <v>AMIGL240193511A</v>
      </c>
      <c r="O181" s="1" t="str">
        <f ca="1">IFERROR(__xludf.DUMMYFUNCTION("""COMPUTED_VALUE"""),"Express Bill of Lading")</f>
        <v>Express Bill of Lading</v>
      </c>
      <c r="P181" s="1" t="str">
        <f ca="1">IFERROR(__xludf.DUMMYFUNCTION("""COMPUTED_VALUE"""),"CGMU5382378")</f>
        <v>CGMU5382378</v>
      </c>
      <c r="Q181" s="1" t="str">
        <f ca="1">IFERROR(__xludf.DUMMYFUNCTION("""COMPUTED_VALUE"""),"R6664159")</f>
        <v>R6664159</v>
      </c>
      <c r="R181" s="1" t="str">
        <f ca="1">IFERROR(__xludf.DUMMYFUNCTION("""COMPUTED_VALUE"""),"CONTRA CONSOLIDATIONS")</f>
        <v>CONTRA CONSOLIDATIONS</v>
      </c>
      <c r="S181" s="1" t="str">
        <f ca="1">IFERROR(__xludf.DUMMYFUNCTION("""COMPUTED_VALUE"""),"Asia Direct")</f>
        <v>Asia Direct</v>
      </c>
      <c r="T181" s="1"/>
      <c r="U181" s="1"/>
      <c r="V181" s="1"/>
      <c r="W181" s="1"/>
      <c r="X181" s="1"/>
      <c r="Y181" s="1"/>
      <c r="Z181" s="4" t="str">
        <f ca="1">IFERROR(__xludf.DUMMYFUNCTION("""COMPUTED_VALUE"""),"#VALUE!")</f>
        <v>#VALUE!</v>
      </c>
    </row>
    <row r="182" spans="1:26" x14ac:dyDescent="0.3">
      <c r="A182" s="1" t="str">
        <f ca="1">IFERROR(__xludf.DUMMYFUNCTION("""COMPUTED_VALUE"""),"DL163")</f>
        <v>DL163</v>
      </c>
      <c r="B182" s="1" t="str">
        <f ca="1">IFERROR(__xludf.DUMMYFUNCTION("""COMPUTED_VALUE"""),"African Technopreneurs")</f>
        <v>African Technopreneurs</v>
      </c>
      <c r="C182" s="1" t="str">
        <f ca="1">IFERROR(__xludf.DUMMYFUNCTION("""COMPUTED_VALUE"""),"Delivered")</f>
        <v>Delivered</v>
      </c>
      <c r="D182" s="3">
        <f ca="1">IFERROR(__xludf.DUMMYFUNCTION("""COMPUTED_VALUE"""),45421)</f>
        <v>45421</v>
      </c>
      <c r="E182" s="1" t="str">
        <f ca="1">IFERROR(__xludf.DUMMYFUNCTION("""COMPUTED_VALUE"""),"OR Tambo")</f>
        <v>OR Tambo</v>
      </c>
      <c r="F182" s="1"/>
      <c r="G182" s="3">
        <f ca="1">IFERROR(__xludf.DUMMYFUNCTION("""COMPUTED_VALUE"""),45428)</f>
        <v>45428</v>
      </c>
      <c r="H182" s="3">
        <f ca="1">IFERROR(__xludf.DUMMYFUNCTION("""COMPUTED_VALUE"""),45428)</f>
        <v>45428</v>
      </c>
      <c r="I182" s="1" t="str">
        <f ca="1">IFERROR(__xludf.DUMMYFUNCTION("""COMPUTED_VALUE"""),"Fedex")</f>
        <v>Fedex</v>
      </c>
      <c r="J182" s="1" t="str">
        <f ca="1">IFERROR(__xludf.DUMMYFUNCTION("""COMPUTED_VALUE"""),"Air")</f>
        <v>Air</v>
      </c>
      <c r="K182" s="1"/>
      <c r="L182" s="1"/>
      <c r="M182" s="1" t="str">
        <f ca="1">IFERROR(__xludf.DUMMYFUNCTION("""COMPUTED_VALUE"""),"776304457350")</f>
        <v>776304457350</v>
      </c>
      <c r="N182" s="1" t="str">
        <f ca="1">IFERROR(__xludf.DUMMYFUNCTION("""COMPUTED_VALUE"""),"776304457350")</f>
        <v>776304457350</v>
      </c>
      <c r="O182" s="1" t="str">
        <f ca="1">IFERROR(__xludf.DUMMYFUNCTION("""COMPUTED_VALUE"""),"Express Bill of Lading")</f>
        <v>Express Bill of Lading</v>
      </c>
      <c r="P182" s="1" t="str">
        <f ca="1">IFERROR(__xludf.DUMMYFUNCTION("""COMPUTED_VALUE"""),"776304457350")</f>
        <v>776304457350</v>
      </c>
      <c r="Q182" s="1"/>
      <c r="R182" s="1"/>
      <c r="S182" s="1"/>
      <c r="T182" s="1"/>
      <c r="U182" s="1"/>
      <c r="V182" s="1"/>
      <c r="W182" s="1"/>
      <c r="X182" s="1"/>
      <c r="Y182" s="1"/>
      <c r="Z182" s="4" t="str">
        <f ca="1">IFERROR(__xludf.DUMMYFUNCTION("""COMPUTED_VALUE"""),"#VALUE!")</f>
        <v>#VALUE!</v>
      </c>
    </row>
    <row r="183" spans="1:26" x14ac:dyDescent="0.3">
      <c r="A183" s="1" t="str">
        <f ca="1">IFERROR(__xludf.DUMMYFUNCTION("""COMPUTED_VALUE"""),"DL165")</f>
        <v>DL165</v>
      </c>
      <c r="B183" s="1" t="str">
        <f ca="1">IFERROR(__xludf.DUMMYFUNCTION("""COMPUTED_VALUE"""),"Sithembe Procuments")</f>
        <v>Sithembe Procuments</v>
      </c>
      <c r="C183" s="1" t="str">
        <f ca="1">IFERROR(__xludf.DUMMYFUNCTION("""COMPUTED_VALUE"""),"Delivered")</f>
        <v>Delivered</v>
      </c>
      <c r="D183" s="3">
        <f ca="1">IFERROR(__xludf.DUMMYFUNCTION("""COMPUTED_VALUE"""),45420)</f>
        <v>45420</v>
      </c>
      <c r="E183" s="1" t="str">
        <f ca="1">IFERROR(__xludf.DUMMYFUNCTION("""COMPUTED_VALUE"""),"Shenzhen")</f>
        <v>Shenzhen</v>
      </c>
      <c r="F183" s="1" t="str">
        <f ca="1">IFERROR(__xludf.DUMMYFUNCTION("""COMPUTED_VALUE"""),"Or Tambo")</f>
        <v>Or Tambo</v>
      </c>
      <c r="G183" s="3">
        <f ca="1">IFERROR(__xludf.DUMMYFUNCTION("""COMPUTED_VALUE"""),45436)</f>
        <v>45436</v>
      </c>
      <c r="H183" s="3">
        <f ca="1">IFERROR(__xludf.DUMMYFUNCTION("""COMPUTED_VALUE"""),45436)</f>
        <v>45436</v>
      </c>
      <c r="I183" s="1" t="str">
        <f ca="1">IFERROR(__xludf.DUMMYFUNCTION("""COMPUTED_VALUE"""),"Shenzhen Nimbus")</f>
        <v>Shenzhen Nimbus</v>
      </c>
      <c r="J183" s="1" t="str">
        <f ca="1">IFERROR(__xludf.DUMMYFUNCTION("""COMPUTED_VALUE"""),"Air")</f>
        <v>Air</v>
      </c>
      <c r="K183" s="1"/>
      <c r="L183" s="1"/>
      <c r="M183" s="1" t="str">
        <f ca="1">IFERROR(__xludf.DUMMYFUNCTION("""COMPUTED_VALUE"""),"274391905990")</f>
        <v>274391905990</v>
      </c>
      <c r="N183" s="1" t="str">
        <f ca="1">IFERROR(__xludf.DUMMYFUNCTION("""COMPUTED_VALUE"""),"274391905990")</f>
        <v>274391905990</v>
      </c>
      <c r="O183" s="1" t="str">
        <f ca="1">IFERROR(__xludf.DUMMYFUNCTION("""COMPUTED_VALUE"""),"Express Bill of Lading")</f>
        <v>Express Bill of Lading</v>
      </c>
      <c r="P183" s="1" t="str">
        <f ca="1">IFERROR(__xludf.DUMMYFUNCTION("""COMPUTED_VALUE"""),"274391905990")</f>
        <v>274391905990</v>
      </c>
      <c r="Q183" s="1"/>
      <c r="R183" s="1" t="str">
        <f ca="1">IFERROR(__xludf.DUMMYFUNCTION("""COMPUTED_VALUE"""),"Fedex")</f>
        <v>Fedex</v>
      </c>
      <c r="S183" s="1" t="str">
        <f ca="1">IFERROR(__xludf.DUMMYFUNCTION("""COMPUTED_VALUE"""),"Asia Direct")</f>
        <v>Asia Direct</v>
      </c>
      <c r="T183" s="1" t="str">
        <f ca="1">IFERROR(__xludf.DUMMYFUNCTION("""COMPUTED_VALUE"""),"Gift Masebe")</f>
        <v>Gift Masebe</v>
      </c>
      <c r="U183" s="1" t="str">
        <f ca="1">IFERROR(__xludf.DUMMYFUNCTION("""COMPUTED_VALUE"""),"9110285688089")</f>
        <v>9110285688089</v>
      </c>
      <c r="V183" s="1" t="str">
        <f ca="1">IFERROR(__xludf.DUMMYFUNCTION("""COMPUTED_VALUE"""),"LR 20 VL GP")</f>
        <v>LR 20 VL GP</v>
      </c>
      <c r="W183" s="1"/>
      <c r="X183" s="1"/>
      <c r="Y183" s="1"/>
      <c r="Z183" s="4" t="str">
        <f ca="1">IFERROR(__xludf.DUMMYFUNCTION("""COMPUTED_VALUE"""),"#VALUE!")</f>
        <v>#VALUE!</v>
      </c>
    </row>
    <row r="184" spans="1:26" x14ac:dyDescent="0.3">
      <c r="A184" s="1" t="str">
        <f ca="1">IFERROR(__xludf.DUMMYFUNCTION("""COMPUTED_VALUE"""),"DL166")</f>
        <v>DL166</v>
      </c>
      <c r="B184" s="1" t="str">
        <f ca="1">IFERROR(__xludf.DUMMYFUNCTION("""COMPUTED_VALUE"""),"Keo Christina")</f>
        <v>Keo Christina</v>
      </c>
      <c r="C184" s="1" t="str">
        <f ca="1">IFERROR(__xludf.DUMMYFUNCTION("""COMPUTED_VALUE"""),"Delivered")</f>
        <v>Delivered</v>
      </c>
      <c r="D184" s="3">
        <f ca="1">IFERROR(__xludf.DUMMYFUNCTION("""COMPUTED_VALUE"""),45416)</f>
        <v>45416</v>
      </c>
      <c r="E184" s="1" t="str">
        <f ca="1">IFERROR(__xludf.DUMMYFUNCTION("""COMPUTED_VALUE"""),"Nansha")</f>
        <v>Nansha</v>
      </c>
      <c r="F184" s="1" t="str">
        <f ca="1">IFERROR(__xludf.DUMMYFUNCTION("""COMPUTED_VALUE"""),"Durban")</f>
        <v>Durban</v>
      </c>
      <c r="G184" s="3">
        <f ca="1">IFERROR(__xludf.DUMMYFUNCTION("""COMPUTED_VALUE"""),45442)</f>
        <v>45442</v>
      </c>
      <c r="H184" s="3">
        <f ca="1">IFERROR(__xludf.DUMMYFUNCTION("""COMPUTED_VALUE"""),45441)</f>
        <v>45441</v>
      </c>
      <c r="I184" s="1"/>
      <c r="J184" s="1" t="str">
        <f ca="1">IFERROR(__xludf.DUMMYFUNCTION("""COMPUTED_VALUE"""),"Sea")</f>
        <v>Sea</v>
      </c>
      <c r="K184" s="1" t="str">
        <f ca="1">IFERROR(__xludf.DUMMYFUNCTION("""COMPUTED_VALUE"""),"COSCO SHIPPING LINES")</f>
        <v>COSCO SHIPPING LINES</v>
      </c>
      <c r="L184" s="1" t="str">
        <f ca="1">IFERROR(__xludf.DUMMYFUNCTION("""COMPUTED_VALUE"""),"SEASPAN TOKYO 010W")</f>
        <v>SEASPAN TOKYO 010W</v>
      </c>
      <c r="M184" s="1" t="str">
        <f ca="1">IFERROR(__xludf.DUMMYFUNCTION("""COMPUTED_VALUE"""),"COSU6381751050")</f>
        <v>COSU6381751050</v>
      </c>
      <c r="N184" s="1" t="str">
        <f ca="1">IFERROR(__xludf.DUMMYFUNCTION("""COMPUTED_VALUE"""),"COSU6381751050")</f>
        <v>COSU6381751050</v>
      </c>
      <c r="O184" s="1" t="str">
        <f ca="1">IFERROR(__xludf.DUMMYFUNCTION("""COMPUTED_VALUE"""),"Original Bill of Lading")</f>
        <v>Original Bill of Lading</v>
      </c>
      <c r="P184" s="1" t="str">
        <f ca="1">IFERROR(__xludf.DUMMYFUNCTION("""COMPUTED_VALUE"""),"TEMU3566147")</f>
        <v>TEMU3566147</v>
      </c>
      <c r="Q184" s="1" t="str">
        <f ca="1">IFERROR(__xludf.DUMMYFUNCTION("""COMPUTED_VALUE"""),"SYA1733318")</f>
        <v>SYA1733318</v>
      </c>
      <c r="R184" s="1" t="str">
        <f ca="1">IFERROR(__xludf.DUMMYFUNCTION("""COMPUTED_VALUE"""),"COSCO")</f>
        <v>COSCO</v>
      </c>
      <c r="S184" s="1" t="str">
        <f ca="1">IFERROR(__xludf.DUMMYFUNCTION("""COMPUTED_VALUE"""),"SEALAND TRANSPORT SERVICES")</f>
        <v>SEALAND TRANSPORT SERVICES</v>
      </c>
      <c r="T184" s="1"/>
      <c r="U184" s="1"/>
      <c r="V184" s="1"/>
      <c r="W184" s="1"/>
      <c r="X184" s="1"/>
      <c r="Y184" s="1"/>
      <c r="Z184" s="4" t="str">
        <f ca="1">IFERROR(__xludf.DUMMYFUNCTION("""COMPUTED_VALUE"""),"#VALUE!")</f>
        <v>#VALUE!</v>
      </c>
    </row>
    <row r="185" spans="1:26" x14ac:dyDescent="0.3">
      <c r="A185" s="1" t="str">
        <f ca="1">IFERROR(__xludf.DUMMYFUNCTION("""COMPUTED_VALUE"""),"DL167")</f>
        <v>DL167</v>
      </c>
      <c r="B185" s="1" t="str">
        <f ca="1">IFERROR(__xludf.DUMMYFUNCTION("""COMPUTED_VALUE"""),"Osvaldo Nunes - Valdo Group")</f>
        <v>Osvaldo Nunes - Valdo Group</v>
      </c>
      <c r="C185" s="1" t="str">
        <f ca="1">IFERROR(__xludf.DUMMYFUNCTION("""COMPUTED_VALUE"""),"Delivered")</f>
        <v>Delivered</v>
      </c>
      <c r="D185" s="3">
        <f ca="1">IFERROR(__xludf.DUMMYFUNCTION("""COMPUTED_VALUE"""),45439)</f>
        <v>45439</v>
      </c>
      <c r="E185" s="1" t="str">
        <f ca="1">IFERROR(__xludf.DUMMYFUNCTION("""COMPUTED_VALUE"""),"Shangdong Pundong Air Port")</f>
        <v>Shangdong Pundong Air Port</v>
      </c>
      <c r="F185" s="1" t="str">
        <f ca="1">IFERROR(__xludf.DUMMYFUNCTION("""COMPUTED_VALUE"""),"Luanda")</f>
        <v>Luanda</v>
      </c>
      <c r="G185" s="3">
        <f ca="1">IFERROR(__xludf.DUMMYFUNCTION("""COMPUTED_VALUE"""),45442)</f>
        <v>45442</v>
      </c>
      <c r="H185" s="3">
        <f ca="1">IFERROR(__xludf.DUMMYFUNCTION("""COMPUTED_VALUE"""),45441)</f>
        <v>45441</v>
      </c>
      <c r="I185" s="1" t="str">
        <f ca="1">IFERROR(__xludf.DUMMYFUNCTION("""COMPUTED_VALUE"""),"Shenzhen Nimbus")</f>
        <v>Shenzhen Nimbus</v>
      </c>
      <c r="J185" s="1" t="str">
        <f ca="1">IFERROR(__xludf.DUMMYFUNCTION("""COMPUTED_VALUE"""),"Air")</f>
        <v>Air</v>
      </c>
      <c r="K185" s="1"/>
      <c r="L185" s="1"/>
      <c r="M185" s="1"/>
      <c r="N185" s="1"/>
      <c r="O185" s="1" t="str">
        <f ca="1">IFERROR(__xludf.DUMMYFUNCTION("""COMPUTED_VALUE"""),"Express Bill of Lading")</f>
        <v>Express Bill of Lading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4" t="str">
        <f ca="1">IFERROR(__xludf.DUMMYFUNCTION("""COMPUTED_VALUE"""),"#VALUE!")</f>
        <v>#VALUE!</v>
      </c>
    </row>
    <row r="186" spans="1:26" x14ac:dyDescent="0.3">
      <c r="A186" s="1" t="str">
        <f ca="1">IFERROR(__xludf.DUMMYFUNCTION("""COMPUTED_VALUE"""),"DL161")</f>
        <v>DL161</v>
      </c>
      <c r="B186" s="1" t="str">
        <f ca="1">IFERROR(__xludf.DUMMYFUNCTION("""COMPUTED_VALUE"""),"Yonda")</f>
        <v>Yonda</v>
      </c>
      <c r="C186" s="1" t="str">
        <f ca="1">IFERROR(__xludf.DUMMYFUNCTION("""COMPUTED_VALUE"""),"In-transit")</f>
        <v>In-transit</v>
      </c>
      <c r="D186" s="3">
        <f ca="1">IFERROR(__xludf.DUMMYFUNCTION("""COMPUTED_VALUE"""),45466)</f>
        <v>45466</v>
      </c>
      <c r="E186" s="1" t="str">
        <f ca="1">IFERROR(__xludf.DUMMYFUNCTION("""COMPUTED_VALUE"""),"Shenzhen")</f>
        <v>Shenzhen</v>
      </c>
      <c r="F186" s="1" t="str">
        <f ca="1">IFERROR(__xludf.DUMMYFUNCTION("""COMPUTED_VALUE"""),"Durban")</f>
        <v>Durban</v>
      </c>
      <c r="G186" s="3">
        <f ca="1">IFERROR(__xludf.DUMMYFUNCTION("""COMPUTED_VALUE"""),45494)</f>
        <v>45494</v>
      </c>
      <c r="H186" s="3">
        <f ca="1">IFERROR(__xludf.DUMMYFUNCTION("""COMPUTED_VALUE"""),45498)</f>
        <v>45498</v>
      </c>
      <c r="I186" s="1" t="str">
        <f ca="1">IFERROR(__xludf.DUMMYFUNCTION("""COMPUTED_VALUE"""),"Shenzhen Nimbus")</f>
        <v>Shenzhen Nimbus</v>
      </c>
      <c r="J186" s="1" t="str">
        <f ca="1">IFERROR(__xludf.DUMMYFUNCTION("""COMPUTED_VALUE"""),"Sea")</f>
        <v>Sea</v>
      </c>
      <c r="K186" s="1"/>
      <c r="L186" s="1" t="str">
        <f ca="1">IFERROR(__xludf.DUMMYFUNCTION("""COMPUTED_VALUE"""),"CMA CGM MEKONG")</f>
        <v>CMA CGM MEKONG</v>
      </c>
      <c r="M186" s="1"/>
      <c r="N186" s="1" t="str">
        <f ca="1">IFERROR(__xludf.DUMMYFUNCTION("""COMPUTED_VALUE"""),"SJHB24061819")</f>
        <v>SJHB24061819</v>
      </c>
      <c r="O186" s="1" t="str">
        <f ca="1">IFERROR(__xludf.DUMMYFUNCTION("""COMPUTED_VALUE"""),"Express Bill of Lading")</f>
        <v>Express Bill of Lading</v>
      </c>
      <c r="P186" s="1" t="str">
        <f ca="1">IFERROR(__xludf.DUMMYFUNCTION("""COMPUTED_VALUE"""),"CGMU5382378")</f>
        <v>CGMU5382378</v>
      </c>
      <c r="Q186" s="1" t="str">
        <f ca="1">IFERROR(__xludf.DUMMYFUNCTION("""COMPUTED_VALUE"""),"0SSHNW1MA")</f>
        <v>0SSHNW1MA</v>
      </c>
      <c r="R186" s="1"/>
      <c r="S186" s="1" t="str">
        <f ca="1">IFERROR(__xludf.DUMMYFUNCTION("""COMPUTED_VALUE"""),"Asia Direct")</f>
        <v>Asia Direct</v>
      </c>
      <c r="T186" s="1"/>
      <c r="U186" s="1"/>
      <c r="V186" s="1"/>
      <c r="W186" s="1"/>
      <c r="X186" s="1"/>
      <c r="Y186" s="1"/>
      <c r="Z186" s="4" t="str">
        <f ca="1">IFERROR(__xludf.DUMMYFUNCTION("""COMPUTED_VALUE"""),"#VALUE!")</f>
        <v>#VALUE!</v>
      </c>
    </row>
    <row r="187" spans="1:26" x14ac:dyDescent="0.3">
      <c r="A187" s="1" t="str">
        <f ca="1">IFERROR(__xludf.DUMMYFUNCTION("""COMPUTED_VALUE"""),"DL172")</f>
        <v>DL172</v>
      </c>
      <c r="B187" s="1" t="str">
        <f ca="1">IFERROR(__xludf.DUMMYFUNCTION("""COMPUTED_VALUE"""),"Mpumatech Stainless Tube (Pty) Ltd")</f>
        <v>Mpumatech Stainless Tube (Pty) Ltd</v>
      </c>
      <c r="C187" s="1" t="str">
        <f ca="1">IFERROR(__xludf.DUMMYFUNCTION("""COMPUTED_VALUE"""),"Delivered")</f>
        <v>Delivered</v>
      </c>
      <c r="D187" s="3">
        <f ca="1">IFERROR(__xludf.DUMMYFUNCTION("""COMPUTED_VALUE"""),45432)</f>
        <v>45432</v>
      </c>
      <c r="E187" s="1" t="str">
        <f ca="1">IFERROR(__xludf.DUMMYFUNCTION("""COMPUTED_VALUE"""),"OR Tambo")</f>
        <v>OR Tambo</v>
      </c>
      <c r="F187" s="1" t="str">
        <f ca="1">IFERROR(__xludf.DUMMYFUNCTION("""COMPUTED_VALUE"""),"Bamako")</f>
        <v>Bamako</v>
      </c>
      <c r="G187" s="3">
        <f ca="1">IFERROR(__xludf.DUMMYFUNCTION("""COMPUTED_VALUE"""),45465)</f>
        <v>45465</v>
      </c>
      <c r="H187" s="3">
        <f ca="1">IFERROR(__xludf.DUMMYFUNCTION("""COMPUTED_VALUE"""),45447)</f>
        <v>45447</v>
      </c>
      <c r="I187" s="1" t="str">
        <f ca="1">IFERROR(__xludf.DUMMYFUNCTION("""COMPUTED_VALUE"""),"My Shipmints")</f>
        <v>My Shipmints</v>
      </c>
      <c r="J187" s="1" t="str">
        <f ca="1">IFERROR(__xludf.DUMMYFUNCTION("""COMPUTED_VALUE"""),"Air")</f>
        <v>Air</v>
      </c>
      <c r="K187" s="1"/>
      <c r="L187" s="1"/>
      <c r="M187" s="1"/>
      <c r="N187" s="1"/>
      <c r="O187" s="1" t="str">
        <f ca="1">IFERROR(__xludf.DUMMYFUNCTION("""COMPUTED_VALUE"""),"Express Bill of Lading")</f>
        <v>Express Bill of Lading</v>
      </c>
      <c r="P187" s="1"/>
      <c r="Q187" s="1"/>
      <c r="R187" s="1" t="str">
        <f ca="1">IFERROR(__xludf.DUMMYFUNCTION("""COMPUTED_VALUE"""),"Fedex")</f>
        <v>Fedex</v>
      </c>
      <c r="S187" s="1" t="str">
        <f ca="1">IFERROR(__xludf.DUMMYFUNCTION("""COMPUTED_VALUE"""),"Courier Guy")</f>
        <v>Courier Guy</v>
      </c>
      <c r="T187" s="1"/>
      <c r="U187" s="1"/>
      <c r="V187" s="1"/>
      <c r="W187" s="1"/>
      <c r="X187" s="1"/>
      <c r="Y187" s="1"/>
      <c r="Z187" s="4" t="str">
        <f ca="1">IFERROR(__xludf.DUMMYFUNCTION("""COMPUTED_VALUE"""),"#VALUE!")</f>
        <v>#VALUE!</v>
      </c>
    </row>
    <row r="188" spans="1:26" x14ac:dyDescent="0.3">
      <c r="A188" s="1" t="str">
        <f ca="1">IFERROR(__xludf.DUMMYFUNCTION("""COMPUTED_VALUE"""),"DL173")</f>
        <v>DL173</v>
      </c>
      <c r="B188" s="1" t="str">
        <f ca="1">IFERROR(__xludf.DUMMYFUNCTION("""COMPUTED_VALUE"""),"Heide med pharmacy")</f>
        <v>Heide med pharmacy</v>
      </c>
      <c r="C188" s="1" t="str">
        <f ca="1">IFERROR(__xludf.DUMMYFUNCTION("""COMPUTED_VALUE"""),"Delivered")</f>
        <v>Delivered</v>
      </c>
      <c r="D188" s="3">
        <f ca="1">IFERROR(__xludf.DUMMYFUNCTION("""COMPUTED_VALUE"""),45436)</f>
        <v>45436</v>
      </c>
      <c r="E188" s="1" t="str">
        <f ca="1">IFERROR(__xludf.DUMMYFUNCTION("""COMPUTED_VALUE"""),"Shenzhen")</f>
        <v>Shenzhen</v>
      </c>
      <c r="F188" s="1" t="str">
        <f ca="1">IFERROR(__xludf.DUMMYFUNCTION("""COMPUTED_VALUE"""),"OR Tambo")</f>
        <v>OR Tambo</v>
      </c>
      <c r="G188" s="3">
        <f ca="1">IFERROR(__xludf.DUMMYFUNCTION("""COMPUTED_VALUE"""),45443)</f>
        <v>45443</v>
      </c>
      <c r="H188" s="3">
        <f ca="1">IFERROR(__xludf.DUMMYFUNCTION("""COMPUTED_VALUE"""),45443)</f>
        <v>45443</v>
      </c>
      <c r="I188" s="1" t="str">
        <f ca="1">IFERROR(__xludf.DUMMYFUNCTION("""COMPUTED_VALUE"""),"Fedex")</f>
        <v>Fedex</v>
      </c>
      <c r="J188" s="1" t="str">
        <f ca="1">IFERROR(__xludf.DUMMYFUNCTION("""COMPUTED_VALUE"""),"Air")</f>
        <v>Air</v>
      </c>
      <c r="K188" s="1"/>
      <c r="L188" s="1"/>
      <c r="M188" s="1" t="str">
        <f ca="1">IFERROR(__xludf.DUMMYFUNCTION("""COMPUTED_VALUE"""),"275060570374:")</f>
        <v>275060570374:</v>
      </c>
      <c r="N188" s="1" t="str">
        <f ca="1">IFERROR(__xludf.DUMMYFUNCTION("""COMPUTED_VALUE"""),"275060570374:")</f>
        <v>275060570374:</v>
      </c>
      <c r="O188" s="1" t="str">
        <f ca="1">IFERROR(__xludf.DUMMYFUNCTION("""COMPUTED_VALUE"""),"Express Bill of Lading")</f>
        <v>Express Bill of Lading</v>
      </c>
      <c r="P188" s="1" t="str">
        <f ca="1">IFERROR(__xludf.DUMMYFUNCTION("""COMPUTED_VALUE"""),"275060570374:")</f>
        <v>275060570374:</v>
      </c>
      <c r="Q188" s="1"/>
      <c r="R188" s="1" t="str">
        <f ca="1">IFERROR(__xludf.DUMMYFUNCTION("""COMPUTED_VALUE"""),"Fedex")</f>
        <v>Fedex</v>
      </c>
      <c r="S188" s="1" t="str">
        <f ca="1">IFERROR(__xludf.DUMMYFUNCTION("""COMPUTED_VALUE"""),"Asia Direct")</f>
        <v>Asia Direct</v>
      </c>
      <c r="T188" s="1"/>
      <c r="U188" s="1"/>
      <c r="V188" s="1"/>
      <c r="W188" s="1"/>
      <c r="X188" s="1"/>
      <c r="Y188" s="1"/>
      <c r="Z188" s="4" t="str">
        <f ca="1">IFERROR(__xludf.DUMMYFUNCTION("""COMPUTED_VALUE"""),"#VALUE!")</f>
        <v>#VALUE!</v>
      </c>
    </row>
    <row r="189" spans="1:26" x14ac:dyDescent="0.3">
      <c r="A189" s="1" t="str">
        <f ca="1">IFERROR(__xludf.DUMMYFUNCTION("""COMPUTED_VALUE"""),"DL174")</f>
        <v>DL174</v>
      </c>
      <c r="B189" s="1" t="str">
        <f ca="1">IFERROR(__xludf.DUMMYFUNCTION("""COMPUTED_VALUE"""),"Zolile")</f>
        <v>Zolile</v>
      </c>
      <c r="C189" s="1" t="str">
        <f ca="1">IFERROR(__xludf.DUMMYFUNCTION("""COMPUTED_VALUE"""),"In-transit")</f>
        <v>In-transit</v>
      </c>
      <c r="D189" s="3">
        <f ca="1">IFERROR(__xludf.DUMMYFUNCTION("""COMPUTED_VALUE"""),45466)</f>
        <v>45466</v>
      </c>
      <c r="E189" s="1" t="str">
        <f ca="1">IFERROR(__xludf.DUMMYFUNCTION("""COMPUTED_VALUE"""),"Shenzhen")</f>
        <v>Shenzhen</v>
      </c>
      <c r="F189" s="1" t="str">
        <f ca="1">IFERROR(__xludf.DUMMYFUNCTION("""COMPUTED_VALUE"""),"Durban")</f>
        <v>Durban</v>
      </c>
      <c r="G189" s="3">
        <f ca="1">IFERROR(__xludf.DUMMYFUNCTION("""COMPUTED_VALUE"""),45494)</f>
        <v>45494</v>
      </c>
      <c r="H189" s="3">
        <f ca="1">IFERROR(__xludf.DUMMYFUNCTION("""COMPUTED_VALUE"""),45494)</f>
        <v>45494</v>
      </c>
      <c r="I189" s="1" t="str">
        <f ca="1">IFERROR(__xludf.DUMMYFUNCTION("""COMPUTED_VALUE"""),"Shenzhen Nimbus")</f>
        <v>Shenzhen Nimbus</v>
      </c>
      <c r="J189" s="1" t="str">
        <f ca="1">IFERROR(__xludf.DUMMYFUNCTION("""COMPUTED_VALUE"""),"Sea")</f>
        <v>Sea</v>
      </c>
      <c r="K189" s="1"/>
      <c r="L189" s="1"/>
      <c r="M189" s="1"/>
      <c r="N189" s="1" t="str">
        <f ca="1">IFERROR(__xludf.DUMMYFUNCTION("""COMPUTED_VALUE"""),"SJHB24061819")</f>
        <v>SJHB24061819</v>
      </c>
      <c r="O189" s="1" t="str">
        <f ca="1">IFERROR(__xludf.DUMMYFUNCTION("""COMPUTED_VALUE"""),"Express Bill of Lading")</f>
        <v>Express Bill of Lading</v>
      </c>
      <c r="P189" s="1" t="str">
        <f ca="1">IFERROR(__xludf.DUMMYFUNCTION("""COMPUTED_VALUE"""),"AMCU9421981")</f>
        <v>AMCU9421981</v>
      </c>
      <c r="Q189" s="1"/>
      <c r="R189" s="1"/>
      <c r="S189" s="1" t="str">
        <f ca="1">IFERROR(__xludf.DUMMYFUNCTION("""COMPUTED_VALUE"""),"Asia Direct")</f>
        <v>Asia Direct</v>
      </c>
      <c r="T189" s="1"/>
      <c r="U189" s="1"/>
      <c r="V189" s="1"/>
      <c r="W189" s="1"/>
      <c r="X189" s="1"/>
      <c r="Y189" s="1"/>
      <c r="Z189" s="4" t="str">
        <f ca="1">IFERROR(__xludf.DUMMYFUNCTION("""COMPUTED_VALUE"""),"#VALUE!")</f>
        <v>#VALUE!</v>
      </c>
    </row>
    <row r="190" spans="1:26" x14ac:dyDescent="0.3">
      <c r="A190" s="1" t="str">
        <f ca="1">IFERROR(__xludf.DUMMYFUNCTION("""COMPUTED_VALUE"""),"DL176")</f>
        <v>DL176</v>
      </c>
      <c r="B190" s="1" t="str">
        <f ca="1">IFERROR(__xludf.DUMMYFUNCTION("""COMPUTED_VALUE"""),"TOP TECH CATERING")</f>
        <v>TOP TECH CATERING</v>
      </c>
      <c r="C190" s="1" t="str">
        <f ca="1">IFERROR(__xludf.DUMMYFUNCTION("""COMPUTED_VALUE"""),"Delivered")</f>
        <v>Delivered</v>
      </c>
      <c r="D190" s="3">
        <f ca="1">IFERROR(__xludf.DUMMYFUNCTION("""COMPUTED_VALUE"""),45439)</f>
        <v>45439</v>
      </c>
      <c r="E190" s="1" t="str">
        <f ca="1">IFERROR(__xludf.DUMMYFUNCTION("""COMPUTED_VALUE"""),"NANSHA")</f>
        <v>NANSHA</v>
      </c>
      <c r="F190" s="1" t="str">
        <f ca="1">IFERROR(__xludf.DUMMYFUNCTION("""COMPUTED_VALUE"""),"DURBAN")</f>
        <v>DURBAN</v>
      </c>
      <c r="G190" s="3">
        <f ca="1">IFERROR(__xludf.DUMMYFUNCTION("""COMPUTED_VALUE"""),45454)</f>
        <v>45454</v>
      </c>
      <c r="H190" s="3">
        <f ca="1">IFERROR(__xludf.DUMMYFUNCTION("""COMPUTED_VALUE"""),45473)</f>
        <v>45473</v>
      </c>
      <c r="I190" s="1" t="str">
        <f ca="1">IFERROR(__xludf.DUMMYFUNCTION("""COMPUTED_VALUE"""),"Shenzhen Nimbus")</f>
        <v>Shenzhen Nimbus</v>
      </c>
      <c r="J190" s="1" t="str">
        <f ca="1">IFERROR(__xludf.DUMMYFUNCTION("""COMPUTED_VALUE"""),"Sea")</f>
        <v>Sea</v>
      </c>
      <c r="K190" s="1" t="str">
        <f ca="1">IFERROR(__xludf.DUMMYFUNCTION("""COMPUTED_VALUE"""),"MAERSK")</f>
        <v>MAERSK</v>
      </c>
      <c r="L190" s="1" t="str">
        <f ca="1">IFERROR(__xludf.DUMMYFUNCTION("""COMPUTED_VALUE"""),"CSCL AFRICA 420W")</f>
        <v>CSCL AFRICA 420W</v>
      </c>
      <c r="M190" s="1" t="str">
        <f ca="1">IFERROR(__xludf.DUMMYFUNCTION("""COMPUTED_VALUE"""),"APU030910")</f>
        <v>APU030910</v>
      </c>
      <c r="N190" s="1"/>
      <c r="O190" s="1" t="str">
        <f ca="1">IFERROR(__xludf.DUMMYFUNCTION("""COMPUTED_VALUE"""),"Original Bill of Lading")</f>
        <v>Original Bill of Lading</v>
      </c>
      <c r="P190" s="1" t="str">
        <f ca="1">IFERROR(__xludf.DUMMYFUNCTION("""COMPUTED_VALUE"""),"SEKU6971516")</f>
        <v>SEKU6971516</v>
      </c>
      <c r="Q190" s="1" t="str">
        <f ca="1">IFERROR(__xludf.DUMMYFUNCTION("""COMPUTED_VALUE"""),"MLCN5580357")</f>
        <v>MLCN5580357</v>
      </c>
      <c r="R190" s="1" t="str">
        <f ca="1">IFERROR(__xludf.DUMMYFUNCTION("""COMPUTED_VALUE"""),"Maersk Line")</f>
        <v>Maersk Line</v>
      </c>
      <c r="S190" s="1"/>
      <c r="T190" s="1"/>
      <c r="U190" s="1"/>
      <c r="V190" s="1"/>
      <c r="W190" s="1"/>
      <c r="X190" s="1"/>
      <c r="Y190" s="1"/>
      <c r="Z190" s="4" t="str">
        <f ca="1">IFERROR(__xludf.DUMMYFUNCTION("""COMPUTED_VALUE"""),"#VALUE!")</f>
        <v>#VALUE!</v>
      </c>
    </row>
    <row r="191" spans="1:26" x14ac:dyDescent="0.3">
      <c r="A191" s="1" t="str">
        <f ca="1">IFERROR(__xludf.DUMMYFUNCTION("""COMPUTED_VALUE"""),"DL175")</f>
        <v>DL175</v>
      </c>
      <c r="B191" s="1" t="str">
        <f ca="1">IFERROR(__xludf.DUMMYFUNCTION("""COMPUTED_VALUE"""),"TOP TECH CATERING")</f>
        <v>TOP TECH CATERING</v>
      </c>
      <c r="C191" s="1" t="str">
        <f ca="1">IFERROR(__xludf.DUMMYFUNCTION("""COMPUTED_VALUE"""),"Delivered")</f>
        <v>Delivered</v>
      </c>
      <c r="D191" s="3">
        <f ca="1">IFERROR(__xludf.DUMMYFUNCTION("""COMPUTED_VALUE"""),45439)</f>
        <v>45439</v>
      </c>
      <c r="E191" s="1" t="str">
        <f ca="1">IFERROR(__xludf.DUMMYFUNCTION("""COMPUTED_VALUE"""),"NANSHA")</f>
        <v>NANSHA</v>
      </c>
      <c r="F191" s="1" t="str">
        <f ca="1">IFERROR(__xludf.DUMMYFUNCTION("""COMPUTED_VALUE"""),"DURBAN")</f>
        <v>DURBAN</v>
      </c>
      <c r="G191" s="3">
        <f ca="1">IFERROR(__xludf.DUMMYFUNCTION("""COMPUTED_VALUE"""),45454)</f>
        <v>45454</v>
      </c>
      <c r="H191" s="3">
        <f ca="1">IFERROR(__xludf.DUMMYFUNCTION("""COMPUTED_VALUE"""),45473)</f>
        <v>45473</v>
      </c>
      <c r="I191" s="1" t="str">
        <f ca="1">IFERROR(__xludf.DUMMYFUNCTION("""COMPUTED_VALUE"""),"Shenzhen Nimbus")</f>
        <v>Shenzhen Nimbus</v>
      </c>
      <c r="J191" s="1" t="str">
        <f ca="1">IFERROR(__xludf.DUMMYFUNCTION("""COMPUTED_VALUE"""),"Sea")</f>
        <v>Sea</v>
      </c>
      <c r="K191" s="1" t="str">
        <f ca="1">IFERROR(__xludf.DUMMYFUNCTION("""COMPUTED_VALUE"""),"MAERSK")</f>
        <v>MAERSK</v>
      </c>
      <c r="L191" s="1" t="str">
        <f ca="1">IFERROR(__xludf.DUMMYFUNCTION("""COMPUTED_VALUE"""),"CSCL AFRICA 420W")</f>
        <v>CSCL AFRICA 420W</v>
      </c>
      <c r="M191" s="1" t="str">
        <f ca="1">IFERROR(__xludf.DUMMYFUNCTION("""COMPUTED_VALUE"""),"APU030909")</f>
        <v>APU030909</v>
      </c>
      <c r="N191" s="1" t="str">
        <f ca="1">IFERROR(__xludf.DUMMYFUNCTION("""COMPUTED_VALUE"""),"NBS2405095")</f>
        <v>NBS2405095</v>
      </c>
      <c r="O191" s="1" t="str">
        <f ca="1">IFERROR(__xludf.DUMMYFUNCTION("""COMPUTED_VALUE"""),"Original Bill of Lading")</f>
        <v>Original Bill of Lading</v>
      </c>
      <c r="P191" s="1" t="str">
        <f ca="1">IFERROR(__xludf.DUMMYFUNCTION("""COMPUTED_VALUE"""),"MRS4857087")</f>
        <v>MRS4857087</v>
      </c>
      <c r="Q191" s="1" t="str">
        <f ca="1">IFERROR(__xludf.DUMMYFUNCTION("""COMPUTED_VALUE"""),"MLCN5596598")</f>
        <v>MLCN5596598</v>
      </c>
      <c r="R191" s="1" t="str">
        <f ca="1">IFERROR(__xludf.DUMMYFUNCTION("""COMPUTED_VALUE"""),"Maersk Line")</f>
        <v>Maersk Line</v>
      </c>
      <c r="S191" s="1"/>
      <c r="T191" s="1"/>
      <c r="U191" s="1"/>
      <c r="V191" s="1"/>
      <c r="W191" s="1"/>
      <c r="X191" s="1"/>
      <c r="Y191" s="1"/>
      <c r="Z191" s="4" t="str">
        <f ca="1">IFERROR(__xludf.DUMMYFUNCTION("""COMPUTED_VALUE"""),"#VALUE!")</f>
        <v>#VALUE!</v>
      </c>
    </row>
    <row r="192" spans="1:26" x14ac:dyDescent="0.3">
      <c r="A192" s="1" t="str">
        <f ca="1">IFERROR(__xludf.DUMMYFUNCTION("""COMPUTED_VALUE"""),"DL182")</f>
        <v>DL182</v>
      </c>
      <c r="B192" s="1" t="str">
        <f ca="1">IFERROR(__xludf.DUMMYFUNCTION("""COMPUTED_VALUE"""),"GW Industries Group")</f>
        <v>GW Industries Group</v>
      </c>
      <c r="C192" s="1" t="str">
        <f ca="1">IFERROR(__xludf.DUMMYFUNCTION("""COMPUTED_VALUE"""),"In-transit")</f>
        <v>In-transit</v>
      </c>
      <c r="D192" s="3">
        <f ca="1">IFERROR(__xludf.DUMMYFUNCTION("""COMPUTED_VALUE"""),45466)</f>
        <v>45466</v>
      </c>
      <c r="E192" s="1" t="str">
        <f ca="1">IFERROR(__xludf.DUMMYFUNCTION("""COMPUTED_VALUE"""),"Sea Freight")</f>
        <v>Sea Freight</v>
      </c>
      <c r="F192" s="1" t="str">
        <f ca="1">IFERROR(__xludf.DUMMYFUNCTION("""COMPUTED_VALUE"""),"Durban")</f>
        <v>Durban</v>
      </c>
      <c r="G192" s="3">
        <f ca="1">IFERROR(__xludf.DUMMYFUNCTION("""COMPUTED_VALUE"""),45494)</f>
        <v>45494</v>
      </c>
      <c r="H192" s="3">
        <f ca="1">IFERROR(__xludf.DUMMYFUNCTION("""COMPUTED_VALUE"""),45498)</f>
        <v>45498</v>
      </c>
      <c r="I192" s="1" t="str">
        <f ca="1">IFERROR(__xludf.DUMMYFUNCTION("""COMPUTED_VALUE"""),"Shenzhen Nimbus")</f>
        <v>Shenzhen Nimbus</v>
      </c>
      <c r="J192" s="1" t="str">
        <f ca="1">IFERROR(__xludf.DUMMYFUNCTION("""COMPUTED_VALUE"""),"Sea")</f>
        <v>Sea</v>
      </c>
      <c r="K192" s="1"/>
      <c r="L192" s="1"/>
      <c r="M192" s="1"/>
      <c r="N192" s="1" t="str">
        <f ca="1">IFERROR(__xludf.DUMMYFUNCTION("""COMPUTED_VALUE"""),"SJHB24061819")</f>
        <v>SJHB24061819</v>
      </c>
      <c r="O192" s="1" t="str">
        <f ca="1">IFERROR(__xludf.DUMMYFUNCTION("""COMPUTED_VALUE"""),"Express Bill of Lading")</f>
        <v>Express Bill of Lading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4" t="str">
        <f ca="1">IFERROR(__xludf.DUMMYFUNCTION("""COMPUTED_VALUE"""),"#VALUE!")</f>
        <v>#VALUE!</v>
      </c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 t="str">
        <f ca="1">IFERROR(__xludf.DUMMYFUNCTION("""COMPUTED_VALUE"""),"DL184")</f>
        <v>DL184</v>
      </c>
      <c r="B194" s="1" t="str">
        <f ca="1">IFERROR(__xludf.DUMMYFUNCTION("""COMPUTED_VALUE"""),"Irvin Mguni")</f>
        <v>Irvin Mguni</v>
      </c>
      <c r="C194" s="1" t="str">
        <f ca="1">IFERROR(__xludf.DUMMYFUNCTION("""COMPUTED_VALUE"""),"Delivered")</f>
        <v>Delivered</v>
      </c>
      <c r="D194" s="3">
        <f ca="1">IFERROR(__xludf.DUMMYFUNCTION("""COMPUTED_VALUE"""),45454)</f>
        <v>45454</v>
      </c>
      <c r="E194" s="1" t="str">
        <f ca="1">IFERROR(__xludf.DUMMYFUNCTION("""COMPUTED_VALUE"""),"Guangzhou")</f>
        <v>Guangzhou</v>
      </c>
      <c r="F194" s="1" t="str">
        <f ca="1">IFERROR(__xludf.DUMMYFUNCTION("""COMPUTED_VALUE"""),"Or Tambo")</f>
        <v>Or Tambo</v>
      </c>
      <c r="G194" s="3">
        <f ca="1">IFERROR(__xludf.DUMMYFUNCTION("""COMPUTED_VALUE"""),45509)</f>
        <v>45509</v>
      </c>
      <c r="H194" s="3">
        <f ca="1">IFERROR(__xludf.DUMMYFUNCTION("""COMPUTED_VALUE"""),45540)</f>
        <v>45540</v>
      </c>
      <c r="I194" s="1" t="str">
        <f ca="1">IFERROR(__xludf.DUMMYFUNCTION("""COMPUTED_VALUE"""),"OBD Logistics")</f>
        <v>OBD Logistics</v>
      </c>
      <c r="J194" s="1" t="str">
        <f ca="1">IFERROR(__xludf.DUMMYFUNCTION("""COMPUTED_VALUE"""),"Air")</f>
        <v>Air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4" t="str">
        <f ca="1">IFERROR(__xludf.DUMMYFUNCTION("""COMPUTED_VALUE"""),"#VALUE!")</f>
        <v>#VALUE!</v>
      </c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 t="str">
        <f ca="1">IFERROR(__xludf.DUMMYFUNCTION("""COMPUTED_VALUE"""),"DL185")</f>
        <v>DL185</v>
      </c>
      <c r="B196" s="1" t="str">
        <f ca="1">IFERROR(__xludf.DUMMYFUNCTION("""COMPUTED_VALUE"""),"Ben Gazide")</f>
        <v>Ben Gazide</v>
      </c>
      <c r="C196" s="1"/>
      <c r="D196" s="3">
        <f ca="1">IFERROR(__xludf.DUMMYFUNCTION("""COMPUTED_VALUE"""),45454)</f>
        <v>45454</v>
      </c>
      <c r="E196" s="1"/>
      <c r="F196" s="1"/>
      <c r="G196" s="3">
        <f ca="1">IFERROR(__xludf.DUMMYFUNCTION("""COMPUTED_VALUE"""),45469)</f>
        <v>45469</v>
      </c>
      <c r="H196" s="3">
        <f ca="1">IFERROR(__xludf.DUMMYFUNCTION("""COMPUTED_VALUE"""),45469)</f>
        <v>45469</v>
      </c>
      <c r="I196" s="1"/>
      <c r="J196" s="1" t="str">
        <f ca="1">IFERROR(__xludf.DUMMYFUNCTION("""COMPUTED_VALUE"""),"Sea")</f>
        <v>Sea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4" t="str">
        <f ca="1">IFERROR(__xludf.DUMMYFUNCTION("""COMPUTED_VALUE"""),"#VALUE!")</f>
        <v>#VALUE!</v>
      </c>
    </row>
    <row r="197" spans="1:26" x14ac:dyDescent="0.3">
      <c r="A197" s="1" t="str">
        <f ca="1">IFERROR(__xludf.DUMMYFUNCTION("""COMPUTED_VALUE"""),"DL171")</f>
        <v>DL171</v>
      </c>
      <c r="B197" s="1" t="str">
        <f ca="1">IFERROR(__xludf.DUMMYFUNCTION("""COMPUTED_VALUE"""),"Jaco Grobler")</f>
        <v>Jaco Grobler</v>
      </c>
      <c r="C197" s="1" t="str">
        <f ca="1">IFERROR(__xludf.DUMMYFUNCTION("""COMPUTED_VALUE"""),"In-transit")</f>
        <v>In-transit</v>
      </c>
      <c r="D197" s="3">
        <f ca="1">IFERROR(__xludf.DUMMYFUNCTION("""COMPUTED_VALUE"""),45466)</f>
        <v>45466</v>
      </c>
      <c r="E197" s="1" t="str">
        <f ca="1">IFERROR(__xludf.DUMMYFUNCTION("""COMPUTED_VALUE"""),"Shenzhen")</f>
        <v>Shenzhen</v>
      </c>
      <c r="F197" s="1" t="str">
        <f ca="1">IFERROR(__xludf.DUMMYFUNCTION("""COMPUTED_VALUE"""),"Durban")</f>
        <v>Durban</v>
      </c>
      <c r="G197" s="3">
        <f ca="1">IFERROR(__xludf.DUMMYFUNCTION("""COMPUTED_VALUE"""),45494)</f>
        <v>45494</v>
      </c>
      <c r="H197" s="3">
        <f ca="1">IFERROR(__xludf.DUMMYFUNCTION("""COMPUTED_VALUE"""),45498)</f>
        <v>45498</v>
      </c>
      <c r="I197" s="1" t="str">
        <f ca="1">IFERROR(__xludf.DUMMYFUNCTION("""COMPUTED_VALUE"""),"Shenzhen Nimbus")</f>
        <v>Shenzhen Nimbus</v>
      </c>
      <c r="J197" s="1" t="str">
        <f ca="1">IFERROR(__xludf.DUMMYFUNCTION("""COMPUTED_VALUE"""),"Sea")</f>
        <v>Sea</v>
      </c>
      <c r="K197" s="1"/>
      <c r="L197" s="1"/>
      <c r="M197" s="1"/>
      <c r="N197" s="1" t="str">
        <f ca="1">IFERROR(__xludf.DUMMYFUNCTION("""COMPUTED_VALUE"""),"SJHB24061819")</f>
        <v>SJHB24061819</v>
      </c>
      <c r="O197" s="1" t="str">
        <f ca="1">IFERROR(__xludf.DUMMYFUNCTION("""COMPUTED_VALUE"""),"Express Bill of Lading")</f>
        <v>Express Bill of Lading</v>
      </c>
      <c r="P197" s="1" t="str">
        <f ca="1">IFERROR(__xludf.DUMMYFUNCTION("""COMPUTED_VALUE"""),"AMCU9421981")</f>
        <v>AMCU9421981</v>
      </c>
      <c r="Q197" s="1"/>
      <c r="R197" s="1"/>
      <c r="S197" s="1" t="str">
        <f ca="1">IFERROR(__xludf.DUMMYFUNCTION("""COMPUTED_VALUE"""),"Asia Direct")</f>
        <v>Asia Direct</v>
      </c>
      <c r="T197" s="1"/>
      <c r="U197" s="1"/>
      <c r="V197" s="1"/>
      <c r="W197" s="1"/>
      <c r="X197" s="1"/>
      <c r="Y197" s="1"/>
      <c r="Z197" s="4" t="str">
        <f ca="1">IFERROR(__xludf.DUMMYFUNCTION("""COMPUTED_VALUE"""),"#VALUE!")</f>
        <v>#VALUE!</v>
      </c>
    </row>
    <row r="198" spans="1:26" x14ac:dyDescent="0.3">
      <c r="A198" s="1" t="str">
        <f ca="1">IFERROR(__xludf.DUMMYFUNCTION("""COMPUTED_VALUE"""),"DL170")</f>
        <v>DL170</v>
      </c>
      <c r="B198" s="1" t="str">
        <f ca="1">IFERROR(__xludf.DUMMYFUNCTION("""COMPUTED_VALUE"""),"Geleza Tech")</f>
        <v>Geleza Tech</v>
      </c>
      <c r="C198" s="1" t="str">
        <f ca="1">IFERROR(__xludf.DUMMYFUNCTION("""COMPUTED_VALUE"""),"In-transit")</f>
        <v>In-transit</v>
      </c>
      <c r="D198" s="3">
        <f ca="1">IFERROR(__xludf.DUMMYFUNCTION("""COMPUTED_VALUE"""),45466)</f>
        <v>45466</v>
      </c>
      <c r="E198" s="1" t="str">
        <f ca="1">IFERROR(__xludf.DUMMYFUNCTION("""COMPUTED_VALUE"""),"Shenzhen")</f>
        <v>Shenzhen</v>
      </c>
      <c r="F198" s="1" t="str">
        <f ca="1">IFERROR(__xludf.DUMMYFUNCTION("""COMPUTED_VALUE"""),"Durban")</f>
        <v>Durban</v>
      </c>
      <c r="G198" s="3">
        <f ca="1">IFERROR(__xludf.DUMMYFUNCTION("""COMPUTED_VALUE"""),45494)</f>
        <v>45494</v>
      </c>
      <c r="H198" s="3">
        <f ca="1">IFERROR(__xludf.DUMMYFUNCTION("""COMPUTED_VALUE"""),45494)</f>
        <v>45494</v>
      </c>
      <c r="I198" s="1" t="str">
        <f ca="1">IFERROR(__xludf.DUMMYFUNCTION("""COMPUTED_VALUE"""),"Shenzhen Nimbus")</f>
        <v>Shenzhen Nimbus</v>
      </c>
      <c r="J198" s="1" t="str">
        <f ca="1">IFERROR(__xludf.DUMMYFUNCTION("""COMPUTED_VALUE"""),"Sea")</f>
        <v>Sea</v>
      </c>
      <c r="K198" s="1"/>
      <c r="L198" s="1"/>
      <c r="M198" s="1"/>
      <c r="N198" s="1" t="str">
        <f ca="1">IFERROR(__xludf.DUMMYFUNCTION("""COMPUTED_VALUE"""),"SJHB24061819")</f>
        <v>SJHB24061819</v>
      </c>
      <c r="O198" s="1" t="str">
        <f ca="1">IFERROR(__xludf.DUMMYFUNCTION("""COMPUTED_VALUE"""),"Express Bill of Lading")</f>
        <v>Express Bill of Lading</v>
      </c>
      <c r="P198" s="1" t="str">
        <f ca="1">IFERROR(__xludf.DUMMYFUNCTION("""COMPUTED_VALUE"""),"AMCU9421981")</f>
        <v>AMCU9421981</v>
      </c>
      <c r="Q198" s="1"/>
      <c r="R198" s="1"/>
      <c r="S198" s="1"/>
      <c r="T198" s="1"/>
      <c r="U198" s="1"/>
      <c r="V198" s="1"/>
      <c r="W198" s="1"/>
      <c r="X198" s="1"/>
      <c r="Y198" s="1"/>
      <c r="Z198" s="4" t="str">
        <f ca="1">IFERROR(__xludf.DUMMYFUNCTION("""COMPUTED_VALUE"""),"#VALUE!")</f>
        <v>#VALUE!</v>
      </c>
    </row>
    <row r="199" spans="1:26" x14ac:dyDescent="0.3">
      <c r="A199" s="1" t="str">
        <f ca="1">IFERROR(__xludf.DUMMYFUNCTION("""COMPUTED_VALUE"""),"DL169")</f>
        <v>DL169</v>
      </c>
      <c r="B199" s="1" t="str">
        <f ca="1">IFERROR(__xludf.DUMMYFUNCTION("""COMPUTED_VALUE"""),"Brent Badenhorst")</f>
        <v>Brent Badenhorst</v>
      </c>
      <c r="C199" s="1" t="str">
        <f ca="1">IFERROR(__xludf.DUMMYFUNCTION("""COMPUTED_VALUE"""),"In-transit")</f>
        <v>In-transit</v>
      </c>
      <c r="D199" s="3">
        <f ca="1">IFERROR(__xludf.DUMMYFUNCTION("""COMPUTED_VALUE"""),45466)</f>
        <v>45466</v>
      </c>
      <c r="E199" s="1" t="str">
        <f ca="1">IFERROR(__xludf.DUMMYFUNCTION("""COMPUTED_VALUE"""),"Shenzhen")</f>
        <v>Shenzhen</v>
      </c>
      <c r="F199" s="1" t="str">
        <f ca="1">IFERROR(__xludf.DUMMYFUNCTION("""COMPUTED_VALUE"""),"Durban")</f>
        <v>Durban</v>
      </c>
      <c r="G199" s="3">
        <f ca="1">IFERROR(__xludf.DUMMYFUNCTION("""COMPUTED_VALUE"""),45494)</f>
        <v>45494</v>
      </c>
      <c r="H199" s="3">
        <f ca="1">IFERROR(__xludf.DUMMYFUNCTION("""COMPUTED_VALUE"""),45498)</f>
        <v>45498</v>
      </c>
      <c r="I199" s="1" t="str">
        <f ca="1">IFERROR(__xludf.DUMMYFUNCTION("""COMPUTED_VALUE"""),"Shenzhen Nimbus")</f>
        <v>Shenzhen Nimbus</v>
      </c>
      <c r="J199" s="1" t="str">
        <f ca="1">IFERROR(__xludf.DUMMYFUNCTION("""COMPUTED_VALUE"""),"Sea")</f>
        <v>Sea</v>
      </c>
      <c r="K199" s="1"/>
      <c r="L199" s="1"/>
      <c r="M199" s="1"/>
      <c r="N199" s="1" t="str">
        <f ca="1">IFERROR(__xludf.DUMMYFUNCTION("""COMPUTED_VALUE"""),"SJHB24061819")</f>
        <v>SJHB24061819</v>
      </c>
      <c r="O199" s="1" t="str">
        <f ca="1">IFERROR(__xludf.DUMMYFUNCTION("""COMPUTED_VALUE"""),"Express Bill of Lading")</f>
        <v>Express Bill of Lading</v>
      </c>
      <c r="P199" s="1" t="str">
        <f ca="1">IFERROR(__xludf.DUMMYFUNCTION("""COMPUTED_VALUE"""),"AMCU9421981")</f>
        <v>AMCU9421981</v>
      </c>
      <c r="Q199" s="1"/>
      <c r="R199" s="1"/>
      <c r="S199" s="1"/>
      <c r="T199" s="1"/>
      <c r="U199" s="1"/>
      <c r="V199" s="1"/>
      <c r="W199" s="1"/>
      <c r="X199" s="1"/>
      <c r="Y199" s="1"/>
      <c r="Z199" s="4" t="str">
        <f ca="1">IFERROR(__xludf.DUMMYFUNCTION("""COMPUTED_VALUE"""),"#VALUE!")</f>
        <v>#VALUE!</v>
      </c>
    </row>
    <row r="200" spans="1:26" x14ac:dyDescent="0.3">
      <c r="A200" s="1" t="str">
        <f ca="1">IFERROR(__xludf.DUMMYFUNCTION("""COMPUTED_VALUE"""),"DL183")</f>
        <v>DL183</v>
      </c>
      <c r="B200" s="1" t="str">
        <f ca="1">IFERROR(__xludf.DUMMYFUNCTION("""COMPUTED_VALUE"""),"Alina - Mokhethi")</f>
        <v>Alina - Mokhethi</v>
      </c>
      <c r="C200" s="1" t="str">
        <f ca="1">IFERROR(__xludf.DUMMYFUNCTION("""COMPUTED_VALUE"""),"In-transit")</f>
        <v>In-transit</v>
      </c>
      <c r="D200" s="3">
        <f ca="1">IFERROR(__xludf.DUMMYFUNCTION("""COMPUTED_VALUE"""),45466)</f>
        <v>45466</v>
      </c>
      <c r="E200" s="1" t="str">
        <f ca="1">IFERROR(__xludf.DUMMYFUNCTION("""COMPUTED_VALUE"""),"Shenzhen")</f>
        <v>Shenzhen</v>
      </c>
      <c r="F200" s="1" t="str">
        <f ca="1">IFERROR(__xludf.DUMMYFUNCTION("""COMPUTED_VALUE"""),"Durban")</f>
        <v>Durban</v>
      </c>
      <c r="G200" s="3">
        <f ca="1">IFERROR(__xludf.DUMMYFUNCTION("""COMPUTED_VALUE"""),45494)</f>
        <v>45494</v>
      </c>
      <c r="H200" s="3">
        <f ca="1">IFERROR(__xludf.DUMMYFUNCTION("""COMPUTED_VALUE"""),45469)</f>
        <v>45469</v>
      </c>
      <c r="I200" s="1" t="str">
        <f ca="1">IFERROR(__xludf.DUMMYFUNCTION("""COMPUTED_VALUE"""),"Shenzhen Nimbus")</f>
        <v>Shenzhen Nimbus</v>
      </c>
      <c r="J200" s="1" t="str">
        <f ca="1">IFERROR(__xludf.DUMMYFUNCTION("""COMPUTED_VALUE"""),"Sea")</f>
        <v>Sea</v>
      </c>
      <c r="K200" s="1"/>
      <c r="L200" s="1"/>
      <c r="M200" s="1"/>
      <c r="N200" s="1"/>
      <c r="O200" s="1" t="str">
        <f ca="1">IFERROR(__xludf.DUMMYFUNCTION("""COMPUTED_VALUE"""),"Express Bill of Lading")</f>
        <v>Express Bill of Lading</v>
      </c>
      <c r="P200" s="1" t="str">
        <f ca="1">IFERROR(__xludf.DUMMYFUNCTION("""COMPUTED_VALUE"""),"AMCU9421981")</f>
        <v>AMCU9421981</v>
      </c>
      <c r="Q200" s="1"/>
      <c r="R200" s="1"/>
      <c r="S200" s="1" t="str">
        <f ca="1">IFERROR(__xludf.DUMMYFUNCTION("""COMPUTED_VALUE"""),"Asia Direct")</f>
        <v>Asia Direct</v>
      </c>
      <c r="T200" s="1"/>
      <c r="U200" s="1"/>
      <c r="V200" s="1"/>
      <c r="W200" s="1"/>
      <c r="X200" s="1"/>
      <c r="Y200" s="1"/>
      <c r="Z200" s="4" t="str">
        <f ca="1">IFERROR(__xludf.DUMMYFUNCTION("""COMPUTED_VALUE"""),"#VALUE!")</f>
        <v>#VALUE!</v>
      </c>
    </row>
    <row r="201" spans="1:26" x14ac:dyDescent="0.3">
      <c r="A201" s="1" t="str">
        <f ca="1">IFERROR(__xludf.DUMMYFUNCTION("""COMPUTED_VALUE"""),"DL188")</f>
        <v>DL188</v>
      </c>
      <c r="B201" s="1" t="str">
        <f ca="1">IFERROR(__xludf.DUMMYFUNCTION("""COMPUTED_VALUE"""),"Additive Manufacturing Solutions")</f>
        <v>Additive Manufacturing Solutions</v>
      </c>
      <c r="C201" s="1" t="str">
        <f ca="1">IFERROR(__xludf.DUMMYFUNCTION("""COMPUTED_VALUE"""),"In-transit")</f>
        <v>In-transit</v>
      </c>
      <c r="D201" s="3">
        <f ca="1">IFERROR(__xludf.DUMMYFUNCTION("""COMPUTED_VALUE"""),45466)</f>
        <v>45466</v>
      </c>
      <c r="E201" s="1" t="str">
        <f ca="1">IFERROR(__xludf.DUMMYFUNCTION("""COMPUTED_VALUE"""),"Shenzhen")</f>
        <v>Shenzhen</v>
      </c>
      <c r="F201" s="1" t="str">
        <f ca="1">IFERROR(__xludf.DUMMYFUNCTION("""COMPUTED_VALUE"""),"Durban")</f>
        <v>Durban</v>
      </c>
      <c r="G201" s="3">
        <f ca="1">IFERROR(__xludf.DUMMYFUNCTION("""COMPUTED_VALUE"""),45494)</f>
        <v>45494</v>
      </c>
      <c r="H201" s="3">
        <f ca="1">IFERROR(__xludf.DUMMYFUNCTION("""COMPUTED_VALUE"""),45503)</f>
        <v>45503</v>
      </c>
      <c r="I201" s="1" t="str">
        <f ca="1">IFERROR(__xludf.DUMMYFUNCTION("""COMPUTED_VALUE"""),"Shenzhen Nimbus")</f>
        <v>Shenzhen Nimbus</v>
      </c>
      <c r="J201" s="1" t="str">
        <f ca="1">IFERROR(__xludf.DUMMYFUNCTION("""COMPUTED_VALUE"""),"Sea")</f>
        <v>Sea</v>
      </c>
      <c r="K201" s="1"/>
      <c r="L201" s="1"/>
      <c r="M201" s="1"/>
      <c r="N201" s="1" t="str">
        <f ca="1">IFERROR(__xludf.DUMMYFUNCTION("""COMPUTED_VALUE"""),"SJHB24061819")</f>
        <v>SJHB24061819</v>
      </c>
      <c r="O201" s="1" t="str">
        <f ca="1">IFERROR(__xludf.DUMMYFUNCTION("""COMPUTED_VALUE"""),"Express Bill of Lading")</f>
        <v>Express Bill of Lading</v>
      </c>
      <c r="P201" s="1" t="str">
        <f ca="1">IFERROR(__xludf.DUMMYFUNCTION("""COMPUTED_VALUE"""),"AMCU9421981")</f>
        <v>AMCU9421981</v>
      </c>
      <c r="Q201" s="1"/>
      <c r="R201" s="1" t="str">
        <f ca="1">IFERROR(__xludf.DUMMYFUNCTION("""COMPUTED_VALUE"""),"Afristar")</f>
        <v>Afristar</v>
      </c>
      <c r="S201" s="1" t="str">
        <f ca="1">IFERROR(__xludf.DUMMYFUNCTION("""COMPUTED_VALUE"""),"Asia Direct")</f>
        <v>Asia Direct</v>
      </c>
      <c r="T201" s="1"/>
      <c r="U201" s="1"/>
      <c r="V201" s="1"/>
      <c r="W201" s="1"/>
      <c r="X201" s="1"/>
      <c r="Y201" s="1"/>
      <c r="Z201" s="4" t="str">
        <f ca="1">IFERROR(__xludf.DUMMYFUNCTION("""COMPUTED_VALUE"""),"#VALUE!")</f>
        <v>#VALUE!</v>
      </c>
    </row>
    <row r="202" spans="1:26" x14ac:dyDescent="0.3">
      <c r="A202" s="1" t="str">
        <f ca="1">IFERROR(__xludf.DUMMYFUNCTION("""COMPUTED_VALUE"""),"DL178")</f>
        <v>DL178</v>
      </c>
      <c r="B202" s="1" t="str">
        <f ca="1">IFERROR(__xludf.DUMMYFUNCTION("""COMPUTED_VALUE"""),"Pillot")</f>
        <v>Pillot</v>
      </c>
      <c r="C202" s="1" t="str">
        <f ca="1">IFERROR(__xludf.DUMMYFUNCTION("""COMPUTED_VALUE"""),"In-transit")</f>
        <v>In-transit</v>
      </c>
      <c r="D202" s="3">
        <f ca="1">IFERROR(__xludf.DUMMYFUNCTION("""COMPUTED_VALUE"""),45466)</f>
        <v>45466</v>
      </c>
      <c r="E202" s="1" t="str">
        <f ca="1">IFERROR(__xludf.DUMMYFUNCTION("""COMPUTED_VALUE"""),"Shenzhen")</f>
        <v>Shenzhen</v>
      </c>
      <c r="F202" s="1" t="str">
        <f ca="1">IFERROR(__xludf.DUMMYFUNCTION("""COMPUTED_VALUE"""),"Durban")</f>
        <v>Durban</v>
      </c>
      <c r="G202" s="3">
        <f ca="1">IFERROR(__xludf.DUMMYFUNCTION("""COMPUTED_VALUE"""),45494)</f>
        <v>45494</v>
      </c>
      <c r="H202" s="3">
        <f ca="1">IFERROR(__xludf.DUMMYFUNCTION("""COMPUTED_VALUE"""),45498)</f>
        <v>45498</v>
      </c>
      <c r="I202" s="1" t="str">
        <f ca="1">IFERROR(__xludf.DUMMYFUNCTION("""COMPUTED_VALUE"""),"Shenzhen Nimbus")</f>
        <v>Shenzhen Nimbus</v>
      </c>
      <c r="J202" s="1" t="str">
        <f ca="1">IFERROR(__xludf.DUMMYFUNCTION("""COMPUTED_VALUE"""),"Sea")</f>
        <v>Sea</v>
      </c>
      <c r="K202" s="1"/>
      <c r="L202" s="1"/>
      <c r="M202" s="1"/>
      <c r="N202" s="1"/>
      <c r="O202" s="1" t="str">
        <f ca="1">IFERROR(__xludf.DUMMYFUNCTION("""COMPUTED_VALUE"""),"Express Bill of Lading")</f>
        <v>Express Bill of Lading</v>
      </c>
      <c r="P202" s="1"/>
      <c r="Q202" s="1"/>
      <c r="R202" s="1"/>
      <c r="S202" s="1" t="str">
        <f ca="1">IFERROR(__xludf.DUMMYFUNCTION("""COMPUTED_VALUE"""),"Asia Direct")</f>
        <v>Asia Direct</v>
      </c>
      <c r="T202" s="1"/>
      <c r="U202" s="1"/>
      <c r="V202" s="1"/>
      <c r="W202" s="1"/>
      <c r="X202" s="1"/>
      <c r="Y202" s="1"/>
      <c r="Z202" s="4" t="str">
        <f ca="1">IFERROR(__xludf.DUMMYFUNCTION("""COMPUTED_VALUE"""),"#VALUE!")</f>
        <v>#VALUE!</v>
      </c>
    </row>
    <row r="203" spans="1:26" x14ac:dyDescent="0.3">
      <c r="A203" s="1" t="str">
        <f ca="1">IFERROR(__xludf.DUMMYFUNCTION("""COMPUTED_VALUE"""),"DL177")</f>
        <v>DL177</v>
      </c>
      <c r="B203" s="1" t="str">
        <f ca="1">IFERROR(__xludf.DUMMYFUNCTION("""COMPUTED_VALUE"""),"Pillot")</f>
        <v>Pillot</v>
      </c>
      <c r="C203" s="1" t="str">
        <f ca="1">IFERROR(__xludf.DUMMYFUNCTION("""COMPUTED_VALUE"""),"In-transit")</f>
        <v>In-transit</v>
      </c>
      <c r="D203" s="3">
        <f ca="1">IFERROR(__xludf.DUMMYFUNCTION("""COMPUTED_VALUE"""),45466)</f>
        <v>45466</v>
      </c>
      <c r="E203" s="1" t="str">
        <f ca="1">IFERROR(__xludf.DUMMYFUNCTION("""COMPUTED_VALUE"""),"Shenzhen")</f>
        <v>Shenzhen</v>
      </c>
      <c r="F203" s="1" t="str">
        <f ca="1">IFERROR(__xludf.DUMMYFUNCTION("""COMPUTED_VALUE"""),"Durban")</f>
        <v>Durban</v>
      </c>
      <c r="G203" s="3">
        <f ca="1">IFERROR(__xludf.DUMMYFUNCTION("""COMPUTED_VALUE"""),45494)</f>
        <v>45494</v>
      </c>
      <c r="H203" s="3">
        <f ca="1">IFERROR(__xludf.DUMMYFUNCTION("""COMPUTED_VALUE"""),45498)</f>
        <v>45498</v>
      </c>
      <c r="I203" s="1" t="str">
        <f ca="1">IFERROR(__xludf.DUMMYFUNCTION("""COMPUTED_VALUE"""),"Shenzhen Nimbus")</f>
        <v>Shenzhen Nimbus</v>
      </c>
      <c r="J203" s="1" t="str">
        <f ca="1">IFERROR(__xludf.DUMMYFUNCTION("""COMPUTED_VALUE"""),"Sea")</f>
        <v>Sea</v>
      </c>
      <c r="K203" s="1"/>
      <c r="L203" s="1"/>
      <c r="M203" s="1"/>
      <c r="N203" s="1"/>
      <c r="O203" s="1" t="str">
        <f ca="1">IFERROR(__xludf.DUMMYFUNCTION("""COMPUTED_VALUE"""),"Express Bill of Lading")</f>
        <v>Express Bill of Lading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4" t="str">
        <f ca="1">IFERROR(__xludf.DUMMYFUNCTION("""COMPUTED_VALUE"""),"#VALUE!")</f>
        <v>#VALUE!</v>
      </c>
    </row>
    <row r="204" spans="1:26" x14ac:dyDescent="0.3">
      <c r="A204" s="1" t="str">
        <f ca="1">IFERROR(__xludf.DUMMYFUNCTION("""COMPUTED_VALUE"""),"DL192")</f>
        <v>DL192</v>
      </c>
      <c r="B204" s="1" t="str">
        <f ca="1">IFERROR(__xludf.DUMMYFUNCTION("""COMPUTED_VALUE"""),"Sithembe Procuments")</f>
        <v>Sithembe Procuments</v>
      </c>
      <c r="C204" s="1" t="str">
        <f ca="1">IFERROR(__xludf.DUMMYFUNCTION("""COMPUTED_VALUE"""),"Delivered")</f>
        <v>Delivered</v>
      </c>
      <c r="D204" s="3">
        <f ca="1">IFERROR(__xludf.DUMMYFUNCTION("""COMPUTED_VALUE"""),45467)</f>
        <v>45467</v>
      </c>
      <c r="E204" s="1" t="str">
        <f ca="1">IFERROR(__xludf.DUMMYFUNCTION("""COMPUTED_VALUE"""),"Any nearest port")</f>
        <v>Any nearest port</v>
      </c>
      <c r="F204" s="1" t="str">
        <f ca="1">IFERROR(__xludf.DUMMYFUNCTION("""COMPUTED_VALUE"""),"Or Tambo")</f>
        <v>Or Tambo</v>
      </c>
      <c r="G204" s="3">
        <f ca="1">IFERROR(__xludf.DUMMYFUNCTION("""COMPUTED_VALUE"""),45478)</f>
        <v>45478</v>
      </c>
      <c r="H204" s="3">
        <f ca="1">IFERROR(__xludf.DUMMYFUNCTION("""COMPUTED_VALUE"""),45478)</f>
        <v>45478</v>
      </c>
      <c r="I204" s="1" t="str">
        <f ca="1">IFERROR(__xludf.DUMMYFUNCTION("""COMPUTED_VALUE"""),"My Shipmints")</f>
        <v>My Shipmints</v>
      </c>
      <c r="J204" s="1" t="str">
        <f ca="1">IFERROR(__xludf.DUMMYFUNCTION("""COMPUTED_VALUE"""),"Air")</f>
        <v>Air</v>
      </c>
      <c r="K204" s="1" t="str">
        <f ca="1">IFERROR(__xludf.DUMMYFUNCTION("""COMPUTED_VALUE"""),"Fedex")</f>
        <v>Fedex</v>
      </c>
      <c r="L204" s="1"/>
      <c r="M204" s="1" t="str">
        <f ca="1">IFERROR(__xludf.DUMMYFUNCTION("""COMPUTED_VALUE"""),"777017023625")</f>
        <v>777017023625</v>
      </c>
      <c r="N204" s="1" t="str">
        <f ca="1">IFERROR(__xludf.DUMMYFUNCTION("""COMPUTED_VALUE"""),"777017023625")</f>
        <v>777017023625</v>
      </c>
      <c r="O204" s="1" t="str">
        <f ca="1">IFERROR(__xludf.DUMMYFUNCTION("""COMPUTED_VALUE"""),"Express Bill of Lading")</f>
        <v>Express Bill of Lading</v>
      </c>
      <c r="P204" s="1" t="str">
        <f ca="1">IFERROR(__xludf.DUMMYFUNCTION("""COMPUTED_VALUE"""),"777017023625")</f>
        <v>777017023625</v>
      </c>
      <c r="Q204" s="1"/>
      <c r="R204" s="1" t="str">
        <f ca="1">IFERROR(__xludf.DUMMYFUNCTION("""COMPUTED_VALUE"""),"Fedex")</f>
        <v>Fedex</v>
      </c>
      <c r="S204" s="1" t="str">
        <f ca="1">IFERROR(__xludf.DUMMYFUNCTION("""COMPUTED_VALUE"""),"Asia Direct")</f>
        <v>Asia Direct</v>
      </c>
      <c r="T204" s="1" t="str">
        <f ca="1">IFERROR(__xludf.DUMMYFUNCTION("""COMPUTED_VALUE"""),"Gift")</f>
        <v>Gift</v>
      </c>
      <c r="U204" s="1"/>
      <c r="V204" s="1"/>
      <c r="W204" s="1"/>
      <c r="X204" s="1"/>
      <c r="Y204" s="1"/>
      <c r="Z204" s="4" t="str">
        <f ca="1">IFERROR(__xludf.DUMMYFUNCTION("""COMPUTED_VALUE"""),"#VALUE!")</f>
        <v>#VALUE!</v>
      </c>
    </row>
    <row r="205" spans="1:26" x14ac:dyDescent="0.3">
      <c r="A205" s="1" t="str">
        <f ca="1">IFERROR(__xludf.DUMMYFUNCTION("""COMPUTED_VALUE"""),"DL179")</f>
        <v>DL179</v>
      </c>
      <c r="B205" s="1" t="str">
        <f ca="1">IFERROR(__xludf.DUMMYFUNCTION("""COMPUTED_VALUE"""),"Imran Khalid")</f>
        <v>Imran Khalid</v>
      </c>
      <c r="C205" s="1" t="str">
        <f ca="1">IFERROR(__xludf.DUMMYFUNCTION("""COMPUTED_VALUE"""),"In-transit")</f>
        <v>In-transit</v>
      </c>
      <c r="D205" s="3">
        <f ca="1">IFERROR(__xludf.DUMMYFUNCTION("""COMPUTED_VALUE"""),45466)</f>
        <v>45466</v>
      </c>
      <c r="E205" s="1" t="str">
        <f ca="1">IFERROR(__xludf.DUMMYFUNCTION("""COMPUTED_VALUE"""),"Shenzhen")</f>
        <v>Shenzhen</v>
      </c>
      <c r="F205" s="1" t="str">
        <f ca="1">IFERROR(__xludf.DUMMYFUNCTION("""COMPUTED_VALUE"""),"Durban")</f>
        <v>Durban</v>
      </c>
      <c r="G205" s="3">
        <f ca="1">IFERROR(__xludf.DUMMYFUNCTION("""COMPUTED_VALUE"""),45494)</f>
        <v>45494</v>
      </c>
      <c r="H205" s="3">
        <f ca="1">IFERROR(__xludf.DUMMYFUNCTION("""COMPUTED_VALUE"""),45498)</f>
        <v>45498</v>
      </c>
      <c r="I205" s="1" t="str">
        <f ca="1">IFERROR(__xludf.DUMMYFUNCTION("""COMPUTED_VALUE"""),"Shenzhen Nimbus")</f>
        <v>Shenzhen Nimbus</v>
      </c>
      <c r="J205" s="1" t="str">
        <f ca="1">IFERROR(__xludf.DUMMYFUNCTION("""COMPUTED_VALUE"""),"Sea")</f>
        <v>Sea</v>
      </c>
      <c r="K205" s="1"/>
      <c r="L205" s="1" t="str">
        <f ca="1">IFERROR(__xludf.DUMMYFUNCTION("""COMPUTED_VALUE"""),"SAN CHRISTOBAL")</f>
        <v>SAN CHRISTOBAL</v>
      </c>
      <c r="M205" s="1"/>
      <c r="N205" s="1" t="str">
        <f ca="1">IFERROR(__xludf.DUMMYFUNCTION("""COMPUTED_VALUE"""),"SJHB24061819")</f>
        <v>SJHB24061819</v>
      </c>
      <c r="O205" s="1" t="str">
        <f ca="1">IFERROR(__xludf.DUMMYFUNCTION("""COMPUTED_VALUE"""),"Express Bill of Lading")</f>
        <v>Express Bill of Lading</v>
      </c>
      <c r="P205" s="1" t="str">
        <f ca="1">IFERROR(__xludf.DUMMYFUNCTION("""COMPUTED_VALUE"""),"AMCU9421981")</f>
        <v>AMCU9421981</v>
      </c>
      <c r="Q205" s="1"/>
      <c r="R205" s="1"/>
      <c r="S205" s="1" t="str">
        <f ca="1">IFERROR(__xludf.DUMMYFUNCTION("""COMPUTED_VALUE"""),"Asia Direct")</f>
        <v>Asia Direct</v>
      </c>
      <c r="T205" s="1"/>
      <c r="U205" s="1"/>
      <c r="V205" s="1"/>
      <c r="W205" s="1"/>
      <c r="X205" s="1"/>
      <c r="Y205" s="1"/>
      <c r="Z205" s="4" t="str">
        <f ca="1">IFERROR(__xludf.DUMMYFUNCTION("""COMPUTED_VALUE"""),"#VALUE!")</f>
        <v>#VALUE!</v>
      </c>
    </row>
    <row r="206" spans="1:26" x14ac:dyDescent="0.3">
      <c r="A206" s="1" t="str">
        <f ca="1">IFERROR(__xludf.DUMMYFUNCTION("""COMPUTED_VALUE"""),"DL189")</f>
        <v>DL189</v>
      </c>
      <c r="B206" s="1" t="str">
        <f ca="1">IFERROR(__xludf.DUMMYFUNCTION("""COMPUTED_VALUE"""),"Sithembe Procuments")</f>
        <v>Sithembe Procuments</v>
      </c>
      <c r="C206" s="1" t="str">
        <f ca="1">IFERROR(__xludf.DUMMYFUNCTION("""COMPUTED_VALUE"""),"In-transit")</f>
        <v>In-transit</v>
      </c>
      <c r="D206" s="3">
        <f ca="1">IFERROR(__xludf.DUMMYFUNCTION("""COMPUTED_VALUE"""),45466)</f>
        <v>45466</v>
      </c>
      <c r="E206" s="1" t="str">
        <f ca="1">IFERROR(__xludf.DUMMYFUNCTION("""COMPUTED_VALUE"""),"Shenzhen")</f>
        <v>Shenzhen</v>
      </c>
      <c r="F206" s="1" t="str">
        <f ca="1">IFERROR(__xludf.DUMMYFUNCTION("""COMPUTED_VALUE"""),"Durban")</f>
        <v>Durban</v>
      </c>
      <c r="G206" s="3">
        <f ca="1">IFERROR(__xludf.DUMMYFUNCTION("""COMPUTED_VALUE"""),45494)</f>
        <v>45494</v>
      </c>
      <c r="H206" s="3">
        <f ca="1">IFERROR(__xludf.DUMMYFUNCTION("""COMPUTED_VALUE"""),45498)</f>
        <v>45498</v>
      </c>
      <c r="I206" s="1" t="str">
        <f ca="1">IFERROR(__xludf.DUMMYFUNCTION("""COMPUTED_VALUE"""),"Shenzhen Nimbus")</f>
        <v>Shenzhen Nimbus</v>
      </c>
      <c r="J206" s="1" t="str">
        <f ca="1">IFERROR(__xludf.DUMMYFUNCTION("""COMPUTED_VALUE"""),"Sea")</f>
        <v>Sea</v>
      </c>
      <c r="K206" s="1"/>
      <c r="L206" s="1" t="str">
        <f ca="1">IFERROR(__xludf.DUMMYFUNCTION("""COMPUTED_VALUE"""),"SAN CHRISTOBAL")</f>
        <v>SAN CHRISTOBAL</v>
      </c>
      <c r="M206" s="1"/>
      <c r="N206" s="1" t="str">
        <f ca="1">IFERROR(__xludf.DUMMYFUNCTION("""COMPUTED_VALUE"""),"SJHB24061819")</f>
        <v>SJHB24061819</v>
      </c>
      <c r="O206" s="1" t="str">
        <f ca="1">IFERROR(__xludf.DUMMYFUNCTION("""COMPUTED_VALUE"""),"Express Bill of Lading")</f>
        <v>Express Bill of Lading</v>
      </c>
      <c r="P206" s="1" t="str">
        <f ca="1">IFERROR(__xludf.DUMMYFUNCTION("""COMPUTED_VALUE"""),"AMCU9421981")</f>
        <v>AMCU9421981</v>
      </c>
      <c r="Q206" s="1"/>
      <c r="R206" s="1"/>
      <c r="S206" s="1" t="str">
        <f ca="1">IFERROR(__xludf.DUMMYFUNCTION("""COMPUTED_VALUE"""),"Asia Direct")</f>
        <v>Asia Direct</v>
      </c>
      <c r="T206" s="1"/>
      <c r="U206" s="1"/>
      <c r="V206" s="1"/>
      <c r="W206" s="1"/>
      <c r="X206" s="1"/>
      <c r="Y206" s="1"/>
      <c r="Z206" s="4" t="str">
        <f ca="1">IFERROR(__xludf.DUMMYFUNCTION("""COMPUTED_VALUE"""),"#VALUE!")</f>
        <v>#VALUE!</v>
      </c>
    </row>
    <row r="207" spans="1:26" x14ac:dyDescent="0.3">
      <c r="A207" s="1" t="str">
        <f ca="1">IFERROR(__xludf.DUMMYFUNCTION("""COMPUTED_VALUE"""),"DL162")</f>
        <v>DL162</v>
      </c>
      <c r="B207" s="1" t="str">
        <f ca="1">IFERROR(__xludf.DUMMYFUNCTION("""COMPUTED_VALUE"""),"Schalk")</f>
        <v>Schalk</v>
      </c>
      <c r="C207" s="1" t="str">
        <f ca="1">IFERROR(__xludf.DUMMYFUNCTION("""COMPUTED_VALUE"""),"In-transit")</f>
        <v>In-transit</v>
      </c>
      <c r="D207" s="3">
        <f ca="1">IFERROR(__xludf.DUMMYFUNCTION("""COMPUTED_VALUE"""),45466)</f>
        <v>45466</v>
      </c>
      <c r="E207" s="1" t="str">
        <f ca="1">IFERROR(__xludf.DUMMYFUNCTION("""COMPUTED_VALUE"""),"Shenzhen")</f>
        <v>Shenzhen</v>
      </c>
      <c r="F207" s="1" t="str">
        <f ca="1">IFERROR(__xludf.DUMMYFUNCTION("""COMPUTED_VALUE"""),"Durban")</f>
        <v>Durban</v>
      </c>
      <c r="G207" s="3">
        <f ca="1">IFERROR(__xludf.DUMMYFUNCTION("""COMPUTED_VALUE"""),45494)</f>
        <v>45494</v>
      </c>
      <c r="H207" s="3">
        <f ca="1">IFERROR(__xludf.DUMMYFUNCTION("""COMPUTED_VALUE"""),45498)</f>
        <v>45498</v>
      </c>
      <c r="I207" s="1"/>
      <c r="J207" s="1" t="str">
        <f ca="1">IFERROR(__xludf.DUMMYFUNCTION("""COMPUTED_VALUE"""),"Sea")</f>
        <v>Sea</v>
      </c>
      <c r="K207" s="1"/>
      <c r="L207" s="1" t="str">
        <f ca="1">IFERROR(__xludf.DUMMYFUNCTION("""COMPUTED_VALUE"""),"SAN CHRISTOBAL")</f>
        <v>SAN CHRISTOBAL</v>
      </c>
      <c r="M207" s="1"/>
      <c r="N207" s="1" t="str">
        <f ca="1">IFERROR(__xludf.DUMMYFUNCTION("""COMPUTED_VALUE"""),"SJHB24061819")</f>
        <v>SJHB24061819</v>
      </c>
      <c r="O207" s="1" t="str">
        <f ca="1">IFERROR(__xludf.DUMMYFUNCTION("""COMPUTED_VALUE"""),"Express Bill of Lading")</f>
        <v>Express Bill of Lading</v>
      </c>
      <c r="P207" s="1" t="str">
        <f ca="1">IFERROR(__xludf.DUMMYFUNCTION("""COMPUTED_VALUE"""),"AMCU9421981")</f>
        <v>AMCU9421981</v>
      </c>
      <c r="Q207" s="1"/>
      <c r="R207" s="1"/>
      <c r="S207" s="1" t="str">
        <f ca="1">IFERROR(__xludf.DUMMYFUNCTION("""COMPUTED_VALUE"""),"Asia Direct")</f>
        <v>Asia Direct</v>
      </c>
      <c r="T207" s="1"/>
      <c r="U207" s="1"/>
      <c r="V207" s="1"/>
      <c r="W207" s="1"/>
      <c r="X207" s="1"/>
      <c r="Y207" s="1"/>
      <c r="Z207" s="4" t="str">
        <f ca="1">IFERROR(__xludf.DUMMYFUNCTION("""COMPUTED_VALUE"""),"#VALUE!")</f>
        <v>#VALUE!</v>
      </c>
    </row>
    <row r="208" spans="1:26" x14ac:dyDescent="0.3">
      <c r="A208" s="1" t="str">
        <f ca="1">IFERROR(__xludf.DUMMYFUNCTION("""COMPUTED_VALUE"""),"DL193")</f>
        <v>DL193</v>
      </c>
      <c r="B208" s="1" t="str">
        <f ca="1">IFERROR(__xludf.DUMMYFUNCTION("""COMPUTED_VALUE"""),"Maite Shatele")</f>
        <v>Maite Shatele</v>
      </c>
      <c r="C208" s="1" t="str">
        <f ca="1">IFERROR(__xludf.DUMMYFUNCTION("""COMPUTED_VALUE"""),"In-transit")</f>
        <v>In-transit</v>
      </c>
      <c r="D208" s="3">
        <f ca="1">IFERROR(__xludf.DUMMYFUNCTION("""COMPUTED_VALUE"""),45466)</f>
        <v>45466</v>
      </c>
      <c r="E208" s="1" t="str">
        <f ca="1">IFERROR(__xludf.DUMMYFUNCTION("""COMPUTED_VALUE"""),"Shenzhen")</f>
        <v>Shenzhen</v>
      </c>
      <c r="F208" s="1" t="str">
        <f ca="1">IFERROR(__xludf.DUMMYFUNCTION("""COMPUTED_VALUE"""),"Durban")</f>
        <v>Durban</v>
      </c>
      <c r="G208" s="3">
        <f ca="1">IFERROR(__xludf.DUMMYFUNCTION("""COMPUTED_VALUE"""),45494)</f>
        <v>45494</v>
      </c>
      <c r="H208" s="3">
        <f ca="1">IFERROR(__xludf.DUMMYFUNCTION("""COMPUTED_VALUE"""),45498)</f>
        <v>45498</v>
      </c>
      <c r="I208" s="1" t="str">
        <f ca="1">IFERROR(__xludf.DUMMYFUNCTION("""COMPUTED_VALUE"""),"Shenzhen Nimbus")</f>
        <v>Shenzhen Nimbus</v>
      </c>
      <c r="J208" s="1" t="str">
        <f ca="1">IFERROR(__xludf.DUMMYFUNCTION("""COMPUTED_VALUE"""),"Sea")</f>
        <v>Sea</v>
      </c>
      <c r="K208" s="1"/>
      <c r="L208" s="1" t="str">
        <f ca="1">IFERROR(__xludf.DUMMYFUNCTION("""COMPUTED_VALUE"""),"SAN CHRISTOBAL")</f>
        <v>SAN CHRISTOBAL</v>
      </c>
      <c r="M208" s="1"/>
      <c r="N208" s="1" t="str">
        <f ca="1">IFERROR(__xludf.DUMMYFUNCTION("""COMPUTED_VALUE"""),"SJHB24061819")</f>
        <v>SJHB24061819</v>
      </c>
      <c r="O208" s="1" t="str">
        <f ca="1">IFERROR(__xludf.DUMMYFUNCTION("""COMPUTED_VALUE"""),"Express Bill of Lading")</f>
        <v>Express Bill of Lading</v>
      </c>
      <c r="P208" s="1" t="str">
        <f ca="1">IFERROR(__xludf.DUMMYFUNCTION("""COMPUTED_VALUE"""),"AMCU9421981")</f>
        <v>AMCU9421981</v>
      </c>
      <c r="Q208" s="1"/>
      <c r="R208" s="1"/>
      <c r="S208" s="1" t="str">
        <f ca="1">IFERROR(__xludf.DUMMYFUNCTION("""COMPUTED_VALUE"""),"Asia Direct")</f>
        <v>Asia Direct</v>
      </c>
      <c r="T208" s="1"/>
      <c r="U208" s="1"/>
      <c r="V208" s="1"/>
      <c r="W208" s="1"/>
      <c r="X208" s="1"/>
      <c r="Y208" s="1"/>
      <c r="Z208" s="4" t="str">
        <f ca="1">IFERROR(__xludf.DUMMYFUNCTION("""COMPUTED_VALUE"""),"#VALUE!")</f>
        <v>#VALUE!</v>
      </c>
    </row>
    <row r="209" spans="1:26" x14ac:dyDescent="0.3">
      <c r="A209" s="1" t="str">
        <f ca="1">IFERROR(__xludf.DUMMYFUNCTION("""COMPUTED_VALUE"""),"DL191")</f>
        <v>DL191</v>
      </c>
      <c r="B209" s="1" t="str">
        <f ca="1">IFERROR(__xludf.DUMMYFUNCTION("""COMPUTED_VALUE"""),"Heide med pharmacy")</f>
        <v>Heide med pharmacy</v>
      </c>
      <c r="C209" s="1" t="str">
        <f ca="1">IFERROR(__xludf.DUMMYFUNCTION("""COMPUTED_VALUE"""),"Delivered")</f>
        <v>Delivered</v>
      </c>
      <c r="D209" s="3">
        <f ca="1">IFERROR(__xludf.DUMMYFUNCTION("""COMPUTED_VALUE"""),45465)</f>
        <v>45465</v>
      </c>
      <c r="E209" s="1" t="str">
        <f ca="1">IFERROR(__xludf.DUMMYFUNCTION("""COMPUTED_VALUE"""),"Or Tambo")</f>
        <v>Or Tambo</v>
      </c>
      <c r="F209" s="1" t="str">
        <f ca="1">IFERROR(__xludf.DUMMYFUNCTION("""COMPUTED_VALUE"""),"Guangzhou")</f>
        <v>Guangzhou</v>
      </c>
      <c r="G209" s="3">
        <f ca="1">IFERROR(__xludf.DUMMYFUNCTION("""COMPUTED_VALUE"""),45470)</f>
        <v>45470</v>
      </c>
      <c r="H209" s="3">
        <f ca="1">IFERROR(__xludf.DUMMYFUNCTION("""COMPUTED_VALUE"""),45500)</f>
        <v>45500</v>
      </c>
      <c r="I209" s="1" t="str">
        <f ca="1">IFERROR(__xludf.DUMMYFUNCTION("""COMPUTED_VALUE"""),"My Shipmints")</f>
        <v>My Shipmints</v>
      </c>
      <c r="J209" s="1" t="str">
        <f ca="1">IFERROR(__xludf.DUMMYFUNCTION("""COMPUTED_VALUE"""),"Air")</f>
        <v>Air</v>
      </c>
      <c r="K209" s="1"/>
      <c r="L209" s="1"/>
      <c r="M209" s="1" t="str">
        <f ca="1">IFERROR(__xludf.DUMMYFUNCTION("""COMPUTED_VALUE"""),"7769 4029 3612")</f>
        <v>7769 4029 3612</v>
      </c>
      <c r="N209" s="1"/>
      <c r="O209" s="1" t="str">
        <f ca="1">IFERROR(__xludf.DUMMYFUNCTION("""COMPUTED_VALUE"""),"Express Bill of Lading")</f>
        <v>Express Bill of Lading</v>
      </c>
      <c r="P209" s="1" t="str">
        <f ca="1">IFERROR(__xludf.DUMMYFUNCTION("""COMPUTED_VALUE"""),"7769 4029 3612")</f>
        <v>7769 4029 3612</v>
      </c>
      <c r="Q209" s="1"/>
      <c r="R209" s="1" t="str">
        <f ca="1">IFERROR(__xludf.DUMMYFUNCTION("""COMPUTED_VALUE"""),"Fedex")</f>
        <v>Fedex</v>
      </c>
      <c r="S209" s="1" t="str">
        <f ca="1">IFERROR(__xludf.DUMMYFUNCTION("""COMPUTED_VALUE"""),"Courier Guy")</f>
        <v>Courier Guy</v>
      </c>
      <c r="T209" s="1"/>
      <c r="U209" s="1"/>
      <c r="V209" s="1"/>
      <c r="W209" s="1"/>
      <c r="X209" s="1"/>
      <c r="Y209" s="1"/>
      <c r="Z209" s="4" t="str">
        <f ca="1">IFERROR(__xludf.DUMMYFUNCTION("""COMPUTED_VALUE"""),"#VALUE!")</f>
        <v>#VALUE!</v>
      </c>
    </row>
    <row r="210" spans="1:26" x14ac:dyDescent="0.3">
      <c r="A210" s="1" t="str">
        <f ca="1">IFERROR(__xludf.DUMMYFUNCTION("""COMPUTED_VALUE"""),"DL198")</f>
        <v>DL198</v>
      </c>
      <c r="B210" s="1" t="str">
        <f ca="1">IFERROR(__xludf.DUMMYFUNCTION("""COMPUTED_VALUE"""),"Bison Rigging")</f>
        <v>Bison Rigging</v>
      </c>
      <c r="C210" s="1" t="str">
        <f ca="1">IFERROR(__xludf.DUMMYFUNCTION("""COMPUTED_VALUE"""),"Ready for Dispatch")</f>
        <v>Ready for Dispatch</v>
      </c>
      <c r="D210" s="3">
        <f ca="1">IFERROR(__xludf.DUMMYFUNCTION("""COMPUTED_VALUE"""),45481)</f>
        <v>45481</v>
      </c>
      <c r="E210" s="1" t="str">
        <f ca="1">IFERROR(__xludf.DUMMYFUNCTION("""COMPUTED_VALUE"""),"SHEKOU")</f>
        <v>SHEKOU</v>
      </c>
      <c r="F210" s="1" t="str">
        <f ca="1">IFERROR(__xludf.DUMMYFUNCTION("""COMPUTED_VALUE"""),"DURBAN")</f>
        <v>DURBAN</v>
      </c>
      <c r="G210" s="3">
        <f ca="1">IFERROR(__xludf.DUMMYFUNCTION("""COMPUTED_VALUE"""),45496)</f>
        <v>45496</v>
      </c>
      <c r="H210" s="3">
        <f ca="1">IFERROR(__xludf.DUMMYFUNCTION("""COMPUTED_VALUE"""),45496)</f>
        <v>45496</v>
      </c>
      <c r="I210" s="1" t="str">
        <f ca="1">IFERROR(__xludf.DUMMYFUNCTION("""COMPUTED_VALUE"""),"Shenzhen Nimbus")</f>
        <v>Shenzhen Nimbus</v>
      </c>
      <c r="J210" s="1" t="str">
        <f ca="1">IFERROR(__xludf.DUMMYFUNCTION("""COMPUTED_VALUE"""),"Sea")</f>
        <v>Sea</v>
      </c>
      <c r="K210" s="1" t="str">
        <f ca="1">IFERROR(__xludf.DUMMYFUNCTION("""COMPUTED_VALUE"""),"CMA CGM")</f>
        <v>CMA CGM</v>
      </c>
      <c r="L210" s="1" t="str">
        <f ca="1">IFERROR(__xludf.DUMMYFUNCTION("""COMPUTED_VALUE"""),"CMA CGM RIO GRANDE-0SSHZW1MA")</f>
        <v>CMA CGM RIO GRANDE-0SSHZW1MA</v>
      </c>
      <c r="M210" s="1" t="str">
        <f ca="1">IFERROR(__xludf.DUMMYFUNCTION("""COMPUTED_VALUE"""),"SHZ6446129")</f>
        <v>SHZ6446129</v>
      </c>
      <c r="N210" s="1" t="str">
        <f ca="1">IFERROR(__xludf.DUMMYFUNCTION("""COMPUTED_VALUE"""),"NBS2407020")</f>
        <v>NBS2407020</v>
      </c>
      <c r="O210" s="1" t="str">
        <f ca="1">IFERROR(__xludf.DUMMYFUNCTION("""COMPUTED_VALUE"""),"Express Bill of Lading")</f>
        <v>Express Bill of Lading</v>
      </c>
      <c r="P210" s="1" t="str">
        <f ca="1">IFERROR(__xludf.DUMMYFUNCTION("""COMPUTED_VALUE"""),"CGMU5370016")</f>
        <v>CGMU5370016</v>
      </c>
      <c r="Q210" s="1" t="str">
        <f ca="1">IFERROR(__xludf.DUMMYFUNCTION("""COMPUTED_VALUE"""),"R7061320")</f>
        <v>R7061320</v>
      </c>
      <c r="R210" s="1" t="str">
        <f ca="1">IFERROR(__xludf.DUMMYFUNCTION("""COMPUTED_VALUE"""),"CMA CGM")</f>
        <v>CMA CGM</v>
      </c>
      <c r="S210" s="1" t="str">
        <f ca="1">IFERROR(__xludf.DUMMYFUNCTION("""COMPUTED_VALUE"""),"SEALAND TRANSPORT SERVICES")</f>
        <v>SEALAND TRANSPORT SERVICES</v>
      </c>
      <c r="T210" s="1"/>
      <c r="U210" s="1"/>
      <c r="V210" s="1"/>
      <c r="W210" s="1"/>
      <c r="X210" s="1"/>
      <c r="Y210" s="1"/>
      <c r="Z210" s="4" t="str">
        <f ca="1">IFERROR(__xludf.DUMMYFUNCTION("""COMPUTED_VALUE"""),"#VALUE!")</f>
        <v>#VALUE!</v>
      </c>
    </row>
    <row r="211" spans="1:26" x14ac:dyDescent="0.3">
      <c r="A211" s="1" t="str">
        <f ca="1">IFERROR(__xludf.DUMMYFUNCTION("""COMPUTED_VALUE"""),"DL199")</f>
        <v>DL199</v>
      </c>
      <c r="B211" s="1" t="str">
        <f ca="1">IFERROR(__xludf.DUMMYFUNCTION("""COMPUTED_VALUE"""),"Mpumatech Stainless Tube (Pty) Ltd")</f>
        <v>Mpumatech Stainless Tube (Pty) Ltd</v>
      </c>
      <c r="C211" s="1" t="str">
        <f ca="1">IFERROR(__xludf.DUMMYFUNCTION("""COMPUTED_VALUE"""),"Ready for Dispatch")</f>
        <v>Ready for Dispatch</v>
      </c>
      <c r="D211" s="3">
        <f ca="1">IFERROR(__xludf.DUMMYFUNCTION("""COMPUTED_VALUE"""),45507)</f>
        <v>45507</v>
      </c>
      <c r="E211" s="1" t="str">
        <f ca="1">IFERROR(__xludf.DUMMYFUNCTION("""COMPUTED_VALUE"""),"Or TAmbo")</f>
        <v>Or TAmbo</v>
      </c>
      <c r="F211" s="1" t="str">
        <f ca="1">IFERROR(__xludf.DUMMYFUNCTION("""COMPUTED_VALUE"""),"Bamako")</f>
        <v>Bamako</v>
      </c>
      <c r="G211" s="3">
        <f ca="1">IFERROR(__xludf.DUMMYFUNCTION("""COMPUTED_VALUE"""),45510)</f>
        <v>45510</v>
      </c>
      <c r="H211" s="3">
        <f ca="1">IFERROR(__xludf.DUMMYFUNCTION("""COMPUTED_VALUE"""),45510)</f>
        <v>45510</v>
      </c>
      <c r="I211" s="1"/>
      <c r="J211" s="1" t="str">
        <f ca="1">IFERROR(__xludf.DUMMYFUNCTION("""COMPUTED_VALUE"""),"Air")</f>
        <v>Air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4" t="str">
        <f ca="1">IFERROR(__xludf.DUMMYFUNCTION("""COMPUTED_VALUE"""),"#VALUE!")</f>
        <v>#VALUE!</v>
      </c>
    </row>
    <row r="212" spans="1:26" x14ac:dyDescent="0.3">
      <c r="A212" s="1" t="str">
        <f ca="1">IFERROR(__xludf.DUMMYFUNCTION("""COMPUTED_VALUE"""),"DL200")</f>
        <v>DL200</v>
      </c>
      <c r="B212" s="1" t="str">
        <f ca="1">IFERROR(__xludf.DUMMYFUNCTION("""COMPUTED_VALUE"""),"Mpumatech Stainless Tube (Pty) Ltd")</f>
        <v>Mpumatech Stainless Tube (Pty) Ltd</v>
      </c>
      <c r="C212" s="1" t="str">
        <f ca="1">IFERROR(__xludf.DUMMYFUNCTION("""COMPUTED_VALUE"""),"Ready for Dispatch")</f>
        <v>Ready for Dispatch</v>
      </c>
      <c r="D212" s="3">
        <f ca="1">IFERROR(__xludf.DUMMYFUNCTION("""COMPUTED_VALUE"""),45485)</f>
        <v>45485</v>
      </c>
      <c r="E212" s="1" t="str">
        <f ca="1">IFERROR(__xludf.DUMMYFUNCTION("""COMPUTED_VALUE"""),"Or Tambo")</f>
        <v>Or Tambo</v>
      </c>
      <c r="F212" s="1" t="str">
        <f ca="1">IFERROR(__xludf.DUMMYFUNCTION("""COMPUTED_VALUE"""),"Bamako")</f>
        <v>Bamako</v>
      </c>
      <c r="G212" s="3">
        <f ca="1">IFERROR(__xludf.DUMMYFUNCTION("""COMPUTED_VALUE"""),45504)</f>
        <v>45504</v>
      </c>
      <c r="H212" s="3">
        <f ca="1">IFERROR(__xludf.DUMMYFUNCTION("""COMPUTED_VALUE"""),45504)</f>
        <v>45504</v>
      </c>
      <c r="I212" s="1" t="str">
        <f ca="1">IFERROR(__xludf.DUMMYFUNCTION("""COMPUTED_VALUE"""),"My Shipmints")</f>
        <v>My Shipmints</v>
      </c>
      <c r="J212" s="1" t="str">
        <f ca="1">IFERROR(__xludf.DUMMYFUNCTION("""COMPUTED_VALUE"""),"Air")</f>
        <v>Air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4" t="str">
        <f ca="1">IFERROR(__xludf.DUMMYFUNCTION("""COMPUTED_VALUE"""),"#VALUE!")</f>
        <v>#VALUE!</v>
      </c>
    </row>
    <row r="213" spans="1:26" x14ac:dyDescent="0.3">
      <c r="A213" s="1" t="str">
        <f ca="1">IFERROR(__xludf.DUMMYFUNCTION("""COMPUTED_VALUE"""),"DL201")</f>
        <v>DL201</v>
      </c>
      <c r="B213" s="1" t="str">
        <f ca="1">IFERROR(__xludf.DUMMYFUNCTION("""COMPUTED_VALUE"""),"Ben Gazide")</f>
        <v>Ben Gazide</v>
      </c>
      <c r="C213" s="1" t="str">
        <f ca="1">IFERROR(__xludf.DUMMYFUNCTION("""COMPUTED_VALUE"""),"On-carriage")</f>
        <v>On-carriage</v>
      </c>
      <c r="D213" s="3">
        <f ca="1">IFERROR(__xludf.DUMMYFUNCTION("""COMPUTED_VALUE"""),45471)</f>
        <v>45471</v>
      </c>
      <c r="E213" s="1" t="str">
        <f ca="1">IFERROR(__xludf.DUMMYFUNCTION("""COMPUTED_VALUE"""),"Guangzhou")</f>
        <v>Guangzhou</v>
      </c>
      <c r="F213" s="1" t="str">
        <f ca="1">IFERROR(__xludf.DUMMYFUNCTION("""COMPUTED_VALUE"""),"Or Tambo")</f>
        <v>Or Tambo</v>
      </c>
      <c r="G213" s="3">
        <f ca="1">IFERROR(__xludf.DUMMYFUNCTION("""COMPUTED_VALUE"""),45478)</f>
        <v>45478</v>
      </c>
      <c r="H213" s="3">
        <f ca="1">IFERROR(__xludf.DUMMYFUNCTION("""COMPUTED_VALUE"""),45478)</f>
        <v>45478</v>
      </c>
      <c r="I213" s="1" t="str">
        <f ca="1">IFERROR(__xludf.DUMMYFUNCTION("""COMPUTED_VALUE"""),"Fedex")</f>
        <v>Fedex</v>
      </c>
      <c r="J213" s="1" t="str">
        <f ca="1">IFERROR(__xludf.DUMMYFUNCTION("""COMPUTED_VALUE"""),"Air")</f>
        <v>Air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4" t="str">
        <f ca="1">IFERROR(__xludf.DUMMYFUNCTION("""COMPUTED_VALUE"""),"#VALUE!")</f>
        <v>#VALUE!</v>
      </c>
    </row>
    <row r="214" spans="1:26" x14ac:dyDescent="0.3">
      <c r="A214" s="1" t="str">
        <f ca="1">IFERROR(__xludf.DUMMYFUNCTION("""COMPUTED_VALUE"""),"DL202")</f>
        <v>DL202</v>
      </c>
      <c r="B214" s="1" t="str">
        <f ca="1">IFERROR(__xludf.DUMMYFUNCTION("""COMPUTED_VALUE"""),"Karl Bulow")</f>
        <v>Karl Bulow</v>
      </c>
      <c r="C214" s="1" t="str">
        <f ca="1">IFERROR(__xludf.DUMMYFUNCTION("""COMPUTED_VALUE"""),"Delivered")</f>
        <v>Delivered</v>
      </c>
      <c r="D214" s="3">
        <f ca="1">IFERROR(__xludf.DUMMYFUNCTION("""COMPUTED_VALUE"""),45485)</f>
        <v>45485</v>
      </c>
      <c r="E214" s="1" t="str">
        <f ca="1">IFERROR(__xludf.DUMMYFUNCTION("""COMPUTED_VALUE"""),"Any nearest port")</f>
        <v>Any nearest port</v>
      </c>
      <c r="F214" s="1" t="str">
        <f ca="1">IFERROR(__xludf.DUMMYFUNCTION("""COMPUTED_VALUE"""),"Durban")</f>
        <v>Durban</v>
      </c>
      <c r="G214" s="3">
        <f ca="1">IFERROR(__xludf.DUMMYFUNCTION("""COMPUTED_VALUE"""),45497)</f>
        <v>45497</v>
      </c>
      <c r="H214" s="3">
        <f ca="1">IFERROR(__xludf.DUMMYFUNCTION("""COMPUTED_VALUE"""),45497)</f>
        <v>45497</v>
      </c>
      <c r="I214" s="1" t="str">
        <f ca="1">IFERROR(__xludf.DUMMYFUNCTION("""COMPUTED_VALUE"""),"My Shipmints")</f>
        <v>My Shipmints</v>
      </c>
      <c r="J214" s="1" t="str">
        <f ca="1">IFERROR(__xludf.DUMMYFUNCTION("""COMPUTED_VALUE"""),"Air")</f>
        <v>Air</v>
      </c>
      <c r="K214" s="1"/>
      <c r="L214" s="1"/>
      <c r="M214" s="1"/>
      <c r="N214" s="1"/>
      <c r="O214" s="1" t="str">
        <f ca="1">IFERROR(__xludf.DUMMYFUNCTION("""COMPUTED_VALUE"""),"Express Bill of Lading")</f>
        <v>Express Bill of Lading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4" t="str">
        <f ca="1">IFERROR(__xludf.DUMMYFUNCTION("""COMPUTED_VALUE"""),"#VALUE!")</f>
        <v>#VALUE!</v>
      </c>
    </row>
    <row r="215" spans="1:26" x14ac:dyDescent="0.3">
      <c r="A215" s="1" t="str">
        <f ca="1">IFERROR(__xludf.DUMMYFUNCTION("""COMPUTED_VALUE"""),"DL194")</f>
        <v>DL194</v>
      </c>
      <c r="B215" s="1" t="str">
        <f ca="1">IFERROR(__xludf.DUMMYFUNCTION("""COMPUTED_VALUE"""),"Sparcraft Masts SA (Pty) Ltd")</f>
        <v>Sparcraft Masts SA (Pty) Ltd</v>
      </c>
      <c r="C215" s="1" t="str">
        <f ca="1">IFERROR(__xludf.DUMMYFUNCTION("""COMPUTED_VALUE"""),"Ready for Dispatch")</f>
        <v>Ready for Dispatch</v>
      </c>
      <c r="D215" s="3">
        <f ca="1">IFERROR(__xludf.DUMMYFUNCTION("""COMPUTED_VALUE"""),45490)</f>
        <v>45490</v>
      </c>
      <c r="E215" s="1"/>
      <c r="F215" s="1"/>
      <c r="G215" s="3">
        <f ca="1">IFERROR(__xludf.DUMMYFUNCTION("""COMPUTED_VALUE"""),45505)</f>
        <v>45505</v>
      </c>
      <c r="H215" s="3">
        <f ca="1">IFERROR(__xludf.DUMMYFUNCTION("""COMPUTED_VALUE"""),45505)</f>
        <v>45505</v>
      </c>
      <c r="I215" s="1"/>
      <c r="J215" s="1" t="str">
        <f ca="1">IFERROR(__xludf.DUMMYFUNCTION("""COMPUTED_VALUE"""),"Sea")</f>
        <v>Sea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4" t="str">
        <f ca="1">IFERROR(__xludf.DUMMYFUNCTION("""COMPUTED_VALUE"""),"#VALUE!")</f>
        <v>#VALUE!</v>
      </c>
    </row>
    <row r="216" spans="1:26" x14ac:dyDescent="0.3">
      <c r="A216" s="1" t="str">
        <f ca="1">IFERROR(__xludf.DUMMYFUNCTION("""COMPUTED_VALUE"""),"DL196")</f>
        <v>DL196</v>
      </c>
      <c r="B216" s="1" t="str">
        <f ca="1">IFERROR(__xludf.DUMMYFUNCTION("""COMPUTED_VALUE"""),"Courtney Heath-Lunt")</f>
        <v>Courtney Heath-Lunt</v>
      </c>
      <c r="C216" s="1" t="str">
        <f ca="1">IFERROR(__xludf.DUMMYFUNCTION("""COMPUTED_VALUE"""),"Ready for Dispatch")</f>
        <v>Ready for Dispatch</v>
      </c>
      <c r="D216" s="3">
        <f ca="1">IFERROR(__xludf.DUMMYFUNCTION("""COMPUTED_VALUE"""),45490)</f>
        <v>45490</v>
      </c>
      <c r="E216" s="1"/>
      <c r="F216" s="1"/>
      <c r="G216" s="3">
        <f ca="1">IFERROR(__xludf.DUMMYFUNCTION("""COMPUTED_VALUE"""),45505)</f>
        <v>45505</v>
      </c>
      <c r="H216" s="3">
        <f ca="1">IFERROR(__xludf.DUMMYFUNCTION("""COMPUTED_VALUE"""),45505)</f>
        <v>45505</v>
      </c>
      <c r="I216" s="1"/>
      <c r="J216" s="1" t="str">
        <f ca="1">IFERROR(__xludf.DUMMYFUNCTION("""COMPUTED_VALUE"""),"Sea")</f>
        <v>Sea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4" t="str">
        <f ca="1">IFERROR(__xludf.DUMMYFUNCTION("""COMPUTED_VALUE"""),"#VALUE!")</f>
        <v>#VALUE!</v>
      </c>
    </row>
    <row r="217" spans="1:26" x14ac:dyDescent="0.3">
      <c r="A217" s="1" t="str">
        <f ca="1">IFERROR(__xludf.DUMMYFUNCTION("""COMPUTED_VALUE"""),"DL204")</f>
        <v>DL204</v>
      </c>
      <c r="B217" s="1" t="str">
        <f ca="1">IFERROR(__xludf.DUMMYFUNCTION("""COMPUTED_VALUE"""),"TOP TECH CATERING")</f>
        <v>TOP TECH CATERING</v>
      </c>
      <c r="C217" s="1" t="str">
        <f ca="1">IFERROR(__xludf.DUMMYFUNCTION("""COMPUTED_VALUE"""),"Ready for Dispatch")</f>
        <v>Ready for Dispatch</v>
      </c>
      <c r="D217" s="3">
        <f ca="1">IFERROR(__xludf.DUMMYFUNCTION("""COMPUTED_VALUE"""),45490)</f>
        <v>45490</v>
      </c>
      <c r="E217" s="1"/>
      <c r="F217" s="1" t="str">
        <f ca="1">IFERROR(__xludf.DUMMYFUNCTION("""COMPUTED_VALUE"""),"DURBAN")</f>
        <v>DURBAN</v>
      </c>
      <c r="G217" s="3">
        <f ca="1">IFERROR(__xludf.DUMMYFUNCTION("""COMPUTED_VALUE"""),45505)</f>
        <v>45505</v>
      </c>
      <c r="H217" s="3">
        <f ca="1">IFERROR(__xludf.DUMMYFUNCTION("""COMPUTED_VALUE"""),45505)</f>
        <v>45505</v>
      </c>
      <c r="I217" s="1"/>
      <c r="J217" s="1" t="str">
        <f ca="1">IFERROR(__xludf.DUMMYFUNCTION("""COMPUTED_VALUE"""),"Sea")</f>
        <v>Sea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4" t="str">
        <f ca="1">IFERROR(__xludf.DUMMYFUNCTION("""COMPUTED_VALUE"""),"#VALUE!")</f>
        <v>#VALUE!</v>
      </c>
    </row>
    <row r="218" spans="1:26" x14ac:dyDescent="0.3">
      <c r="A218" s="1" t="str">
        <f ca="1">IFERROR(__xludf.DUMMYFUNCTION("""COMPUTED_VALUE"""),"DL203")</f>
        <v>DL203</v>
      </c>
      <c r="B218" s="1" t="str">
        <f ca="1">IFERROR(__xludf.DUMMYFUNCTION("""COMPUTED_VALUE"""),"TOP TECH CATERING")</f>
        <v>TOP TECH CATERING</v>
      </c>
      <c r="C218" s="1" t="str">
        <f ca="1">IFERROR(__xludf.DUMMYFUNCTION("""COMPUTED_VALUE"""),"Ready for Dispatch")</f>
        <v>Ready for Dispatch</v>
      </c>
      <c r="D218" s="3">
        <f ca="1">IFERROR(__xludf.DUMMYFUNCTION("""COMPUTED_VALUE"""),45490)</f>
        <v>45490</v>
      </c>
      <c r="E218" s="1"/>
      <c r="F218" s="1" t="str">
        <f ca="1">IFERROR(__xludf.DUMMYFUNCTION("""COMPUTED_VALUE"""),"DURBAN")</f>
        <v>DURBAN</v>
      </c>
      <c r="G218" s="3">
        <f ca="1">IFERROR(__xludf.DUMMYFUNCTION("""COMPUTED_VALUE"""),45505)</f>
        <v>45505</v>
      </c>
      <c r="H218" s="3">
        <f ca="1">IFERROR(__xludf.DUMMYFUNCTION("""COMPUTED_VALUE"""),45505)</f>
        <v>45505</v>
      </c>
      <c r="I218" s="1"/>
      <c r="J218" s="1" t="str">
        <f ca="1">IFERROR(__xludf.DUMMYFUNCTION("""COMPUTED_VALUE"""),"Sea")</f>
        <v>Sea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4" t="str">
        <f ca="1">IFERROR(__xludf.DUMMYFUNCTION("""COMPUTED_VALUE"""),"#VALUE!")</f>
        <v>#VALUE!</v>
      </c>
    </row>
    <row r="219" spans="1:26" x14ac:dyDescent="0.3">
      <c r="A219" s="1" t="str">
        <f ca="1">IFERROR(__xludf.DUMMYFUNCTION("""COMPUTED_VALUE"""),"DL205")</f>
        <v>DL205</v>
      </c>
      <c r="B219" s="1" t="str">
        <f ca="1">IFERROR(__xludf.DUMMYFUNCTION("""COMPUTED_VALUE"""),"Kurt")</f>
        <v>Kurt</v>
      </c>
      <c r="C219" s="1" t="str">
        <f ca="1">IFERROR(__xludf.DUMMYFUNCTION("""COMPUTED_VALUE"""),"In-transit")</f>
        <v>In-transit</v>
      </c>
      <c r="D219" s="3">
        <f ca="1">IFERROR(__xludf.DUMMYFUNCTION("""COMPUTED_VALUE"""),45496)</f>
        <v>45496</v>
      </c>
      <c r="E219" s="1" t="str">
        <f ca="1">IFERROR(__xludf.DUMMYFUNCTION("""COMPUTED_VALUE"""),"Any nearest port")</f>
        <v>Any nearest port</v>
      </c>
      <c r="F219" s="1" t="str">
        <f ca="1">IFERROR(__xludf.DUMMYFUNCTION("""COMPUTED_VALUE"""),"Cape Town")</f>
        <v>Cape Town</v>
      </c>
      <c r="G219" s="3">
        <f ca="1">IFERROR(__xludf.DUMMYFUNCTION("""COMPUTED_VALUE"""),45506)</f>
        <v>45506</v>
      </c>
      <c r="H219" s="3">
        <f ca="1">IFERROR(__xludf.DUMMYFUNCTION("""COMPUTED_VALUE"""),45506)</f>
        <v>45506</v>
      </c>
      <c r="I219" s="1" t="str">
        <f ca="1">IFERROR(__xludf.DUMMYFUNCTION("""COMPUTED_VALUE"""),"OBD Logistics")</f>
        <v>OBD Logistics</v>
      </c>
      <c r="J219" s="1" t="str">
        <f ca="1">IFERROR(__xludf.DUMMYFUNCTION("""COMPUTED_VALUE"""),"Air")</f>
        <v>Air</v>
      </c>
      <c r="K219" s="1"/>
      <c r="L219" s="1"/>
      <c r="M219" s="1" t="str">
        <f ca="1">IFERROR(__xludf.DUMMYFUNCTION("""COMPUTED_VALUE"""),"277479304325")</f>
        <v>277479304325</v>
      </c>
      <c r="N219" s="1" t="str">
        <f ca="1">IFERROR(__xludf.DUMMYFUNCTION("""COMPUTED_VALUE"""),"277479304325")</f>
        <v>277479304325</v>
      </c>
      <c r="O219" s="1" t="str">
        <f ca="1">IFERROR(__xludf.DUMMYFUNCTION("""COMPUTED_VALUE"""),"Express Bill of Lading")</f>
        <v>Express Bill of Lading</v>
      </c>
      <c r="P219" s="1" t="str">
        <f ca="1">IFERROR(__xludf.DUMMYFUNCTION("""COMPUTED_VALUE"""),"277479304325")</f>
        <v>277479304325</v>
      </c>
      <c r="Q219" s="1"/>
      <c r="R219" s="1" t="str">
        <f ca="1">IFERROR(__xludf.DUMMYFUNCTION("""COMPUTED_VALUE"""),"Fedex")</f>
        <v>Fedex</v>
      </c>
      <c r="S219" s="1" t="str">
        <f ca="1">IFERROR(__xludf.DUMMYFUNCTION("""COMPUTED_VALUE"""),"Courier Guy")</f>
        <v>Courier Guy</v>
      </c>
      <c r="T219" s="1"/>
      <c r="U219" s="1"/>
      <c r="V219" s="1"/>
      <c r="W219" s="1"/>
      <c r="X219" s="1"/>
      <c r="Y219" s="1"/>
      <c r="Z219" s="4" t="str">
        <f ca="1">IFERROR(__xludf.DUMMYFUNCTION("""COMPUTED_VALUE"""),"#VALUE!")</f>
        <v>#VALUE!</v>
      </c>
    </row>
    <row r="220" spans="1:26" x14ac:dyDescent="0.3">
      <c r="A220" s="1" t="str">
        <f ca="1">IFERROR(__xludf.DUMMYFUNCTION("""COMPUTED_VALUE"""),"DL196")</f>
        <v>DL196</v>
      </c>
      <c r="B220" s="1" t="str">
        <f ca="1">IFERROR(__xludf.DUMMYFUNCTION("""COMPUTED_VALUE"""),"Courtney Heath-Lunt")</f>
        <v>Courtney Heath-Lunt</v>
      </c>
      <c r="C220" s="1" t="str">
        <f ca="1">IFERROR(__xludf.DUMMYFUNCTION("""COMPUTED_VALUE"""),"Ready for Dispatch")</f>
        <v>Ready for Dispatch</v>
      </c>
      <c r="D220" s="3">
        <f ca="1">IFERROR(__xludf.DUMMYFUNCTION("""COMPUTED_VALUE"""),45490)</f>
        <v>45490</v>
      </c>
      <c r="E220" s="1"/>
      <c r="F220" s="1"/>
      <c r="G220" s="3">
        <f ca="1">IFERROR(__xludf.DUMMYFUNCTION("""COMPUTED_VALUE"""),45505)</f>
        <v>45505</v>
      </c>
      <c r="H220" s="3">
        <f ca="1">IFERROR(__xludf.DUMMYFUNCTION("""COMPUTED_VALUE"""),45505)</f>
        <v>45505</v>
      </c>
      <c r="I220" s="1"/>
      <c r="J220" s="1" t="str">
        <f ca="1">IFERROR(__xludf.DUMMYFUNCTION("""COMPUTED_VALUE"""),"Sea")</f>
        <v>Sea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4" t="str">
        <f ca="1">IFERROR(__xludf.DUMMYFUNCTION("""COMPUTED_VALUE"""),"#VALUE!")</f>
        <v>#VALUE!</v>
      </c>
    </row>
    <row r="221" spans="1:26" x14ac:dyDescent="0.3">
      <c r="A221" s="1" t="str">
        <f ca="1">IFERROR(__xludf.DUMMYFUNCTION("""COMPUTED_VALUE"""),"DL194")</f>
        <v>DL194</v>
      </c>
      <c r="B221" s="1" t="str">
        <f ca="1">IFERROR(__xludf.DUMMYFUNCTION("""COMPUTED_VALUE"""),"Sparcraft Masts SA (Pty) Ltd")</f>
        <v>Sparcraft Masts SA (Pty) Ltd</v>
      </c>
      <c r="C221" s="1" t="str">
        <f ca="1">IFERROR(__xludf.DUMMYFUNCTION("""COMPUTED_VALUE"""),"Ready for Dispatch")</f>
        <v>Ready for Dispatch</v>
      </c>
      <c r="D221" s="3">
        <f ca="1">IFERROR(__xludf.DUMMYFUNCTION("""COMPUTED_VALUE"""),45490)</f>
        <v>45490</v>
      </c>
      <c r="E221" s="1"/>
      <c r="F221" s="1"/>
      <c r="G221" s="3">
        <f ca="1">IFERROR(__xludf.DUMMYFUNCTION("""COMPUTED_VALUE"""),45505)</f>
        <v>45505</v>
      </c>
      <c r="H221" s="3">
        <f ca="1">IFERROR(__xludf.DUMMYFUNCTION("""COMPUTED_VALUE"""),45505)</f>
        <v>45505</v>
      </c>
      <c r="I221" s="1"/>
      <c r="J221" s="1" t="str">
        <f ca="1">IFERROR(__xludf.DUMMYFUNCTION("""COMPUTED_VALUE"""),"Sea")</f>
        <v>Sea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4" t="str">
        <f ca="1">IFERROR(__xludf.DUMMYFUNCTION("""COMPUTED_VALUE"""),"#VALUE!")</f>
        <v>#VALUE!</v>
      </c>
    </row>
    <row r="222" spans="1:26" x14ac:dyDescent="0.3">
      <c r="A222" s="1" t="str">
        <f ca="1">IFERROR(__xludf.DUMMYFUNCTION("""COMPUTED_VALUE"""),"DL206")</f>
        <v>DL206</v>
      </c>
      <c r="B222" s="1" t="str">
        <f ca="1">IFERROR(__xludf.DUMMYFUNCTION("""COMPUTED_VALUE"""),"Essop")</f>
        <v>Essop</v>
      </c>
      <c r="C222" s="1" t="str">
        <f ca="1">IFERROR(__xludf.DUMMYFUNCTION("""COMPUTED_VALUE"""),"Ready for Dispatch")</f>
        <v>Ready for Dispatch</v>
      </c>
      <c r="D222" s="3">
        <f ca="1">IFERROR(__xludf.DUMMYFUNCTION("""COMPUTED_VALUE"""),45490)</f>
        <v>45490</v>
      </c>
      <c r="E222" s="1"/>
      <c r="F222" s="1"/>
      <c r="G222" s="3">
        <f ca="1">IFERROR(__xludf.DUMMYFUNCTION("""COMPUTED_VALUE"""),45505)</f>
        <v>45505</v>
      </c>
      <c r="H222" s="3">
        <f ca="1">IFERROR(__xludf.DUMMYFUNCTION("""COMPUTED_VALUE"""),45505)</f>
        <v>45505</v>
      </c>
      <c r="I222" s="1"/>
      <c r="J222" s="1" t="str">
        <f ca="1">IFERROR(__xludf.DUMMYFUNCTION("""COMPUTED_VALUE"""),"Sea")</f>
        <v>Sea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4" t="str">
        <f ca="1">IFERROR(__xludf.DUMMYFUNCTION("""COMPUTED_VALUE"""),"#VALUE!")</f>
        <v>#VALUE!</v>
      </c>
    </row>
    <row r="223" spans="1:26" x14ac:dyDescent="0.3">
      <c r="A223" s="1" t="str">
        <f ca="1">IFERROR(__xludf.DUMMYFUNCTION("""COMPUTED_VALUE"""),"DL207")</f>
        <v>DL207</v>
      </c>
      <c r="B223" s="1" t="str">
        <f ca="1">IFERROR(__xludf.DUMMYFUNCTION("""COMPUTED_VALUE"""),"Karl Bulow")</f>
        <v>Karl Bulow</v>
      </c>
      <c r="C223" s="1" t="str">
        <f ca="1">IFERROR(__xludf.DUMMYFUNCTION("""COMPUTED_VALUE"""),"Delivered")</f>
        <v>Delivered</v>
      </c>
      <c r="D223" s="3">
        <f ca="1">IFERROR(__xludf.DUMMYFUNCTION("""COMPUTED_VALUE"""),45490)</f>
        <v>45490</v>
      </c>
      <c r="E223" s="1"/>
      <c r="F223" s="1" t="str">
        <f ca="1">IFERROR(__xludf.DUMMYFUNCTION("""COMPUTED_VALUE"""),"OR TAMBO")</f>
        <v>OR TAMBO</v>
      </c>
      <c r="G223" s="3">
        <f ca="1">IFERROR(__xludf.DUMMYFUNCTION("""COMPUTED_VALUE"""),45505)</f>
        <v>45505</v>
      </c>
      <c r="H223" s="3">
        <f ca="1">IFERROR(__xludf.DUMMYFUNCTION("""COMPUTED_VALUE"""),45496)</f>
        <v>45496</v>
      </c>
      <c r="I223" s="1" t="str">
        <f ca="1">IFERROR(__xludf.DUMMYFUNCTION("""COMPUTED_VALUE"""),"Fedex")</f>
        <v>Fedex</v>
      </c>
      <c r="J223" s="1" t="str">
        <f ca="1">IFERROR(__xludf.DUMMYFUNCTION("""COMPUTED_VALUE"""),"Air")</f>
        <v>Air</v>
      </c>
      <c r="K223" s="1" t="str">
        <f ca="1">IFERROR(__xludf.DUMMYFUNCTION("""COMPUTED_VALUE"""),"FEDEX")</f>
        <v>FEDEX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4" t="str">
        <f ca="1">IFERROR(__xludf.DUMMYFUNCTION("""COMPUTED_VALUE"""),"#VALUE!")</f>
        <v>#VALUE!</v>
      </c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 t="str">
        <f ca="1">IFERROR(__xludf.DUMMYFUNCTION("""COMPUTED_VALUE"""),"DL209")</f>
        <v>DL209</v>
      </c>
      <c r="B225" s="1" t="str">
        <f ca="1">IFERROR(__xludf.DUMMYFUNCTION("""COMPUTED_VALUE"""),"Geleza Tech")</f>
        <v>Geleza Tech</v>
      </c>
      <c r="C225" s="1"/>
      <c r="D225" s="3">
        <f ca="1">IFERROR(__xludf.DUMMYFUNCTION("""COMPUTED_VALUE"""),45490)</f>
        <v>45490</v>
      </c>
      <c r="E225" s="1"/>
      <c r="F225" s="1"/>
      <c r="G225" s="3">
        <f ca="1">IFERROR(__xludf.DUMMYFUNCTION("""COMPUTED_VALUE"""),45505)</f>
        <v>45505</v>
      </c>
      <c r="H225" s="3">
        <f ca="1">IFERROR(__xludf.DUMMYFUNCTION("""COMPUTED_VALUE"""),45505)</f>
        <v>45505</v>
      </c>
      <c r="I225" s="1"/>
      <c r="J225" s="1" t="str">
        <f ca="1">IFERROR(__xludf.DUMMYFUNCTION("""COMPUTED_VALUE"""),"Sea")</f>
        <v>Sea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4" t="str">
        <f ca="1">IFERROR(__xludf.DUMMYFUNCTION("""COMPUTED_VALUE"""),"#VALUE!")</f>
        <v>#VALUE!</v>
      </c>
    </row>
    <row r="226" spans="1:26" x14ac:dyDescent="0.3">
      <c r="A226" s="1" t="str">
        <f ca="1">IFERROR(__xludf.DUMMYFUNCTION("""COMPUTED_VALUE"""),"DL210")</f>
        <v>DL210</v>
      </c>
      <c r="B226" s="1" t="str">
        <f ca="1">IFERROR(__xludf.DUMMYFUNCTION("""COMPUTED_VALUE"""),"Additive Manufacturing Solutions")</f>
        <v>Additive Manufacturing Solutions</v>
      </c>
      <c r="C226" s="1"/>
      <c r="D226" s="3">
        <f ca="1">IFERROR(__xludf.DUMMYFUNCTION("""COMPUTED_VALUE"""),45490)</f>
        <v>45490</v>
      </c>
      <c r="E226" s="1"/>
      <c r="F226" s="1"/>
      <c r="G226" s="3">
        <f ca="1">IFERROR(__xludf.DUMMYFUNCTION("""COMPUTED_VALUE"""),45505)</f>
        <v>45505</v>
      </c>
      <c r="H226" s="3">
        <f ca="1">IFERROR(__xludf.DUMMYFUNCTION("""COMPUTED_VALUE"""),45505)</f>
        <v>45505</v>
      </c>
      <c r="I226" s="1"/>
      <c r="J226" s="1" t="str">
        <f ca="1">IFERROR(__xludf.DUMMYFUNCTION("""COMPUTED_VALUE"""),"Sea")</f>
        <v>Sea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4" t="str">
        <f ca="1">IFERROR(__xludf.DUMMYFUNCTION("""COMPUTED_VALUE"""),"#VALUE!")</f>
        <v>#VALUE!</v>
      </c>
    </row>
    <row r="227" spans="1:26" x14ac:dyDescent="0.3">
      <c r="A227" s="1" t="str">
        <f ca="1">IFERROR(__xludf.DUMMYFUNCTION("""COMPUTED_VALUE"""),"DL211")</f>
        <v>DL211</v>
      </c>
      <c r="B227" s="1" t="str">
        <f ca="1">IFERROR(__xludf.DUMMYFUNCTION("""COMPUTED_VALUE"""),"Stitched At Home Pty Ltd")</f>
        <v>Stitched At Home Pty Ltd</v>
      </c>
      <c r="C227" s="1"/>
      <c r="D227" s="3">
        <f ca="1">IFERROR(__xludf.DUMMYFUNCTION("""COMPUTED_VALUE"""),45490)</f>
        <v>45490</v>
      </c>
      <c r="E227" s="1"/>
      <c r="F227" s="1"/>
      <c r="G227" s="3">
        <f ca="1">IFERROR(__xludf.DUMMYFUNCTION("""COMPUTED_VALUE"""),45505)</f>
        <v>45505</v>
      </c>
      <c r="H227" s="3">
        <f ca="1">IFERROR(__xludf.DUMMYFUNCTION("""COMPUTED_VALUE"""),45505)</f>
        <v>45505</v>
      </c>
      <c r="I227" s="1"/>
      <c r="J227" s="1" t="str">
        <f ca="1">IFERROR(__xludf.DUMMYFUNCTION("""COMPUTED_VALUE"""),"Sea")</f>
        <v>Sea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4" t="str">
        <f ca="1">IFERROR(__xludf.DUMMYFUNCTION("""COMPUTED_VALUE"""),"#VALUE!")</f>
        <v>#VALUE!</v>
      </c>
    </row>
    <row r="228" spans="1:26" x14ac:dyDescent="0.3">
      <c r="A228" s="1" t="str">
        <f ca="1">IFERROR(__xludf.DUMMYFUNCTION("""COMPUTED_VALUE"""),"DL212")</f>
        <v>DL212</v>
      </c>
      <c r="B228" s="1" t="str">
        <f ca="1">IFERROR(__xludf.DUMMYFUNCTION("""COMPUTED_VALUE"""),"Motlatso")</f>
        <v>Motlatso</v>
      </c>
      <c r="C228" s="1"/>
      <c r="D228" s="3">
        <f ca="1">IFERROR(__xludf.DUMMYFUNCTION("""COMPUTED_VALUE"""),45490)</f>
        <v>45490</v>
      </c>
      <c r="E228" s="1"/>
      <c r="F228" s="1"/>
      <c r="G228" s="3">
        <f ca="1">IFERROR(__xludf.DUMMYFUNCTION("""COMPUTED_VALUE"""),45505)</f>
        <v>45505</v>
      </c>
      <c r="H228" s="3">
        <f ca="1">IFERROR(__xludf.DUMMYFUNCTION("""COMPUTED_VALUE"""),45505)</f>
        <v>45505</v>
      </c>
      <c r="I228" s="1"/>
      <c r="J228" s="1" t="str">
        <f ca="1">IFERROR(__xludf.DUMMYFUNCTION("""COMPUTED_VALUE"""),"Sea")</f>
        <v>Sea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4" t="str">
        <f ca="1">IFERROR(__xludf.DUMMYFUNCTION("""COMPUTED_VALUE"""),"#VALUE!")</f>
        <v>#VALUE!</v>
      </c>
    </row>
    <row r="229" spans="1:26" x14ac:dyDescent="0.3">
      <c r="A229" s="1" t="str">
        <f ca="1">IFERROR(__xludf.DUMMYFUNCTION("""COMPUTED_VALUE"""),"DL214")</f>
        <v>DL214</v>
      </c>
      <c r="B229" s="1" t="str">
        <f ca="1">IFERROR(__xludf.DUMMYFUNCTION("""COMPUTED_VALUE"""),"ASIA DIRECT")</f>
        <v>ASIA DIRECT</v>
      </c>
      <c r="C229" s="1" t="str">
        <f ca="1">IFERROR(__xludf.DUMMYFUNCTION("""COMPUTED_VALUE"""),"In-transit")</f>
        <v>In-transit</v>
      </c>
      <c r="D229" s="3">
        <f ca="1">IFERROR(__xludf.DUMMYFUNCTION("""COMPUTED_VALUE"""),45497)</f>
        <v>45497</v>
      </c>
      <c r="E229" s="1" t="str">
        <f ca="1">IFERROR(__xludf.DUMMYFUNCTION("""COMPUTED_VALUE"""),"GUANGZHOU")</f>
        <v>GUANGZHOU</v>
      </c>
      <c r="F229" s="1" t="str">
        <f ca="1">IFERROR(__xludf.DUMMYFUNCTION("""COMPUTED_VALUE"""),"OR TAMBO")</f>
        <v>OR TAMBO</v>
      </c>
      <c r="G229" s="3">
        <f ca="1">IFERROR(__xludf.DUMMYFUNCTION("""COMPUTED_VALUE"""),45512)</f>
        <v>45512</v>
      </c>
      <c r="H229" s="3">
        <f ca="1">IFERROR(__xludf.DUMMYFUNCTION("""COMPUTED_VALUE"""),45512)</f>
        <v>45512</v>
      </c>
      <c r="I229" s="1" t="str">
        <f ca="1">IFERROR(__xludf.DUMMYFUNCTION("""COMPUTED_VALUE"""),"Shenzhen Nimbus")</f>
        <v>Shenzhen Nimbus</v>
      </c>
      <c r="J229" s="1" t="str">
        <f ca="1">IFERROR(__xludf.DUMMYFUNCTION("""COMPUTED_VALUE"""),"Air")</f>
        <v>Air</v>
      </c>
      <c r="K229" s="1" t="str">
        <f ca="1">IFERROR(__xludf.DUMMYFUNCTION("""COMPUTED_VALUE"""),"SINGAPORE AIRLINES")</f>
        <v>SINGAPORE AIRLINES</v>
      </c>
      <c r="L229" s="1" t="str">
        <f ca="1">IFERROR(__xludf.DUMMYFUNCTION("""COMPUTED_VALUE"""),"SQ7819")</f>
        <v>SQ7819</v>
      </c>
      <c r="M229" s="1" t="str">
        <f ca="1">IFERROR(__xludf.DUMMYFUNCTION("""COMPUTED_VALUE"""),"618-35223392")</f>
        <v>618-35223392</v>
      </c>
      <c r="N229" s="1" t="str">
        <f ca="1">IFERROR(__xludf.DUMMYFUNCTION("""COMPUTED_VALUE"""),"618-35223392")</f>
        <v>618-35223392</v>
      </c>
      <c r="O229" s="1" t="str">
        <f ca="1">IFERROR(__xludf.DUMMYFUNCTION("""COMPUTED_VALUE"""),"Express Bill of Lading")</f>
        <v>Express Bill of Lading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4" t="str">
        <f ca="1">IFERROR(__xludf.DUMMYFUNCTION("""COMPUTED_VALUE"""),"#VALUE!")</f>
        <v>#VALUE!</v>
      </c>
    </row>
    <row r="230" spans="1:26" x14ac:dyDescent="0.3">
      <c r="A230" s="1" t="str">
        <f ca="1">IFERROR(__xludf.DUMMYFUNCTION("""COMPUTED_VALUE"""),"DL216")</f>
        <v>DL216</v>
      </c>
      <c r="B230" s="1" t="str">
        <f ca="1">IFERROR(__xludf.DUMMYFUNCTION("""COMPUTED_VALUE"""),"Fu Yu Import and Export")</f>
        <v>Fu Yu Import and Export</v>
      </c>
      <c r="C230" s="1" t="str">
        <f ca="1">IFERROR(__xludf.DUMMYFUNCTION("""COMPUTED_VALUE"""),"Ready for Dispatch")</f>
        <v>Ready for Dispatch</v>
      </c>
      <c r="D230" s="3">
        <f ca="1">IFERROR(__xludf.DUMMYFUNCTION("""COMPUTED_VALUE"""),45498)</f>
        <v>45498</v>
      </c>
      <c r="E230" s="1" t="str">
        <f ca="1">IFERROR(__xludf.DUMMYFUNCTION("""COMPUTED_VALUE"""),"NINGBO")</f>
        <v>NINGBO</v>
      </c>
      <c r="F230" s="1" t="str">
        <f ca="1">IFERROR(__xludf.DUMMYFUNCTION("""COMPUTED_VALUE"""),"DURBAN")</f>
        <v>DURBAN</v>
      </c>
      <c r="G230" s="3">
        <f ca="1">IFERROR(__xludf.DUMMYFUNCTION("""COMPUTED_VALUE"""),45513)</f>
        <v>45513</v>
      </c>
      <c r="H230" s="3">
        <f ca="1">IFERROR(__xludf.DUMMYFUNCTION("""COMPUTED_VALUE"""),45513)</f>
        <v>45513</v>
      </c>
      <c r="I230" s="1"/>
      <c r="J230" s="1" t="str">
        <f ca="1">IFERROR(__xludf.DUMMYFUNCTION("""COMPUTED_VALUE"""),"Sea")</f>
        <v>Sea</v>
      </c>
      <c r="K230" s="1" t="str">
        <f ca="1">IFERROR(__xludf.DUMMYFUNCTION("""COMPUTED_VALUE"""),"MAERSK")</f>
        <v>MAERSK</v>
      </c>
      <c r="L230" s="1" t="str">
        <f ca="1">IFERROR(__xludf.DUMMYFUNCTION("""COMPUTED_VALUE"""),"SANTA BARBARA")</f>
        <v>SANTA BARBARA</v>
      </c>
      <c r="M230" s="1" t="str">
        <f ca="1">IFERROR(__xludf.DUMMYFUNCTION("""COMPUTED_VALUE"""),"241987792")</f>
        <v>241987792</v>
      </c>
      <c r="N230" s="1" t="str">
        <f ca="1">IFERROR(__xludf.DUMMYFUNCTION("""COMPUTED_VALUE"""),"241987792")</f>
        <v>241987792</v>
      </c>
      <c r="O230" s="1" t="str">
        <f ca="1">IFERROR(__xludf.DUMMYFUNCTION("""COMPUTED_VALUE"""),"Express Bill of Lading")</f>
        <v>Express Bill of Lading</v>
      </c>
      <c r="P230" s="1" t="str">
        <f ca="1">IFERROR(__xludf.DUMMYFUNCTION("""COMPUTED_VALUE"""),"MRKU4534271")</f>
        <v>MRKU4534271</v>
      </c>
      <c r="Q230" s="1" t="str">
        <f ca="1">IFERROR(__xludf.DUMMYFUNCTION("""COMPUTED_VALUE"""),"MLCN7739996")</f>
        <v>MLCN7739996</v>
      </c>
      <c r="R230" s="1" t="str">
        <f ca="1">IFERROR(__xludf.DUMMYFUNCTION("""COMPUTED_VALUE"""),"Maersk Line")</f>
        <v>Maersk Line</v>
      </c>
      <c r="S230" s="1"/>
      <c r="T230" s="1"/>
      <c r="U230" s="1"/>
      <c r="V230" s="1"/>
      <c r="W230" s="1"/>
      <c r="X230" s="1"/>
      <c r="Y230" s="1"/>
      <c r="Z230" s="4" t="str">
        <f ca="1">IFERROR(__xludf.DUMMYFUNCTION("""COMPUTED_VALUE"""),"#VALUE!")</f>
        <v>#VALUE!</v>
      </c>
    </row>
    <row r="231" spans="1:26" x14ac:dyDescent="0.3">
      <c r="A231" s="1" t="str">
        <f ca="1">IFERROR(__xludf.DUMMYFUNCTION("""COMPUTED_VALUE"""),"DL217")</f>
        <v>DL217</v>
      </c>
      <c r="B231" s="1" t="str">
        <f ca="1">IFERROR(__xludf.DUMMYFUNCTION("""COMPUTED_VALUE"""),"Graham Scott")</f>
        <v>Graham Scott</v>
      </c>
      <c r="C231" s="1"/>
      <c r="D231" s="3">
        <f ca="1">IFERROR(__xludf.DUMMYFUNCTION("""COMPUTED_VALUE"""),45499)</f>
        <v>45499</v>
      </c>
      <c r="E231" s="1"/>
      <c r="F231" s="1"/>
      <c r="G231" s="3">
        <f ca="1">IFERROR(__xludf.DUMMYFUNCTION("""COMPUTED_VALUE"""),45514)</f>
        <v>45514</v>
      </c>
      <c r="H231" s="3">
        <f ca="1">IFERROR(__xludf.DUMMYFUNCTION("""COMPUTED_VALUE"""),45514)</f>
        <v>45514</v>
      </c>
      <c r="I231" s="1"/>
      <c r="J231" s="1" t="str">
        <f ca="1">IFERROR(__xludf.DUMMYFUNCTION("""COMPUTED_VALUE"""),"Sea")</f>
        <v>Sea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4" t="str">
        <f ca="1">IFERROR(__xludf.DUMMYFUNCTION("""COMPUTED_VALUE"""),"#VALUE!")</f>
        <v>#VALUE!</v>
      </c>
    </row>
    <row r="232" spans="1:26" x14ac:dyDescent="0.3">
      <c r="A232" s="1" t="str">
        <f ca="1">IFERROR(__xludf.DUMMYFUNCTION("""COMPUTED_VALUE"""),"DL215")</f>
        <v>DL215</v>
      </c>
      <c r="B232" s="1" t="str">
        <f ca="1">IFERROR(__xludf.DUMMYFUNCTION("""COMPUTED_VALUE"""),"Hydrafix")</f>
        <v>Hydrafix</v>
      </c>
      <c r="C232" s="1"/>
      <c r="D232" s="3">
        <f ca="1">IFERROR(__xludf.DUMMYFUNCTION("""COMPUTED_VALUE"""),45499)</f>
        <v>45499</v>
      </c>
      <c r="E232" s="1"/>
      <c r="F232" s="1"/>
      <c r="G232" s="3">
        <f ca="1">IFERROR(__xludf.DUMMYFUNCTION("""COMPUTED_VALUE"""),45514)</f>
        <v>45514</v>
      </c>
      <c r="H232" s="3">
        <f ca="1">IFERROR(__xludf.DUMMYFUNCTION("""COMPUTED_VALUE"""),45514)</f>
        <v>45514</v>
      </c>
      <c r="I232" s="1"/>
      <c r="J232" s="1" t="str">
        <f ca="1">IFERROR(__xludf.DUMMYFUNCTION("""COMPUTED_VALUE"""),"Sea")</f>
        <v>Sea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4" t="str">
        <f ca="1">IFERROR(__xludf.DUMMYFUNCTION("""COMPUTED_VALUE"""),"#VALUE!")</f>
        <v>#VALUE!</v>
      </c>
    </row>
    <row r="233" spans="1:26" x14ac:dyDescent="0.3">
      <c r="A233" s="1" t="str">
        <f ca="1">IFERROR(__xludf.DUMMYFUNCTION("""COMPUTED_VALUE"""),"DL213")</f>
        <v>DL213</v>
      </c>
      <c r="B233" s="1" t="str">
        <f ca="1">IFERROR(__xludf.DUMMYFUNCTION("""COMPUTED_VALUE"""),"VYKON (PTY) LTD")</f>
        <v>VYKON (PTY) LTD</v>
      </c>
      <c r="C233" s="1"/>
      <c r="D233" s="3">
        <f ca="1">IFERROR(__xludf.DUMMYFUNCTION("""COMPUTED_VALUE"""),45499)</f>
        <v>45499</v>
      </c>
      <c r="E233" s="1"/>
      <c r="F233" s="1"/>
      <c r="G233" s="3">
        <f ca="1">IFERROR(__xludf.DUMMYFUNCTION("""COMPUTED_VALUE"""),45514)</f>
        <v>45514</v>
      </c>
      <c r="H233" s="3">
        <f ca="1">IFERROR(__xludf.DUMMYFUNCTION("""COMPUTED_VALUE"""),45514)</f>
        <v>45514</v>
      </c>
      <c r="I233" s="1"/>
      <c r="J233" s="1" t="str">
        <f ca="1">IFERROR(__xludf.DUMMYFUNCTION("""COMPUTED_VALUE"""),"Sea")</f>
        <v>Sea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4" t="str">
        <f ca="1">IFERROR(__xludf.DUMMYFUNCTION("""COMPUTED_VALUE"""),"#VALUE!")</f>
        <v>#VALUE!</v>
      </c>
    </row>
    <row r="234" spans="1:26" x14ac:dyDescent="0.3">
      <c r="A234" s="1" t="str">
        <f ca="1">IFERROR(__xludf.DUMMYFUNCTION("""COMPUTED_VALUE"""),"DL212")</f>
        <v>DL212</v>
      </c>
      <c r="B234" s="1" t="str">
        <f ca="1">IFERROR(__xludf.DUMMYFUNCTION("""COMPUTED_VALUE"""),"Motlatso")</f>
        <v>Motlatso</v>
      </c>
      <c r="C234" s="1"/>
      <c r="D234" s="3">
        <f ca="1">IFERROR(__xludf.DUMMYFUNCTION("""COMPUTED_VALUE"""),45499)</f>
        <v>45499</v>
      </c>
      <c r="E234" s="1"/>
      <c r="F234" s="1"/>
      <c r="G234" s="3">
        <f ca="1">IFERROR(__xludf.DUMMYFUNCTION("""COMPUTED_VALUE"""),45514)</f>
        <v>45514</v>
      </c>
      <c r="H234" s="3">
        <f ca="1">IFERROR(__xludf.DUMMYFUNCTION("""COMPUTED_VALUE"""),45514)</f>
        <v>45514</v>
      </c>
      <c r="I234" s="1"/>
      <c r="J234" s="1" t="str">
        <f ca="1">IFERROR(__xludf.DUMMYFUNCTION("""COMPUTED_VALUE"""),"Sea")</f>
        <v>Sea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4" t="str">
        <f ca="1">IFERROR(__xludf.DUMMYFUNCTION("""COMPUTED_VALUE"""),"#VALUE!")</f>
        <v>#VALUE!</v>
      </c>
    </row>
    <row r="235" spans="1:26" x14ac:dyDescent="0.3">
      <c r="A235" s="1" t="str">
        <f ca="1">IFERROR(__xludf.DUMMYFUNCTION("""COMPUTED_VALUE"""),"DL212")</f>
        <v>DL212</v>
      </c>
      <c r="B235" s="1" t="str">
        <f ca="1">IFERROR(__xludf.DUMMYFUNCTION("""COMPUTED_VALUE"""),"Motlatso")</f>
        <v>Motlatso</v>
      </c>
      <c r="C235" s="1"/>
      <c r="D235" s="3">
        <f ca="1">IFERROR(__xludf.DUMMYFUNCTION("""COMPUTED_VALUE"""),45499)</f>
        <v>45499</v>
      </c>
      <c r="E235" s="1"/>
      <c r="F235" s="1"/>
      <c r="G235" s="3">
        <f ca="1">IFERROR(__xludf.DUMMYFUNCTION("""COMPUTED_VALUE"""),45514)</f>
        <v>45514</v>
      </c>
      <c r="H235" s="3">
        <f ca="1">IFERROR(__xludf.DUMMYFUNCTION("""COMPUTED_VALUE"""),45514)</f>
        <v>45514</v>
      </c>
      <c r="I235" s="1"/>
      <c r="J235" s="1" t="str">
        <f ca="1">IFERROR(__xludf.DUMMYFUNCTION("""COMPUTED_VALUE"""),"Sea")</f>
        <v>Sea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4" t="str">
        <f ca="1">IFERROR(__xludf.DUMMYFUNCTION("""COMPUTED_VALUE"""),"#VALUE!")</f>
        <v>#VALUE!</v>
      </c>
    </row>
    <row r="236" spans="1:26" x14ac:dyDescent="0.3">
      <c r="A236" s="1" t="str">
        <f ca="1">IFERROR(__xludf.DUMMYFUNCTION("""COMPUTED_VALUE"""),"DL211")</f>
        <v>DL211</v>
      </c>
      <c r="B236" s="1" t="str">
        <f ca="1">IFERROR(__xludf.DUMMYFUNCTION("""COMPUTED_VALUE"""),"Stitched At Home Pty Ltd")</f>
        <v>Stitched At Home Pty Ltd</v>
      </c>
      <c r="C236" s="1"/>
      <c r="D236" s="3">
        <f ca="1">IFERROR(__xludf.DUMMYFUNCTION("""COMPUTED_VALUE"""),45499)</f>
        <v>45499</v>
      </c>
      <c r="E236" s="1"/>
      <c r="F236" s="1"/>
      <c r="G236" s="3">
        <f ca="1">IFERROR(__xludf.DUMMYFUNCTION("""COMPUTED_VALUE"""),45514)</f>
        <v>45514</v>
      </c>
      <c r="H236" s="3">
        <f ca="1">IFERROR(__xludf.DUMMYFUNCTION("""COMPUTED_VALUE"""),45514)</f>
        <v>45514</v>
      </c>
      <c r="I236" s="1"/>
      <c r="J236" s="1" t="str">
        <f ca="1">IFERROR(__xludf.DUMMYFUNCTION("""COMPUTED_VALUE"""),"Sea")</f>
        <v>Sea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4" t="str">
        <f ca="1">IFERROR(__xludf.DUMMYFUNCTION("""COMPUTED_VALUE"""),"#VALUE!")</f>
        <v>#VALUE!</v>
      </c>
    </row>
    <row r="237" spans="1:26" x14ac:dyDescent="0.3">
      <c r="A237" s="1" t="str">
        <f ca="1">IFERROR(__xludf.DUMMYFUNCTION("""COMPUTED_VALUE"""),"DL208")</f>
        <v>DL208</v>
      </c>
      <c r="B237" s="1" t="str">
        <f ca="1">IFERROR(__xludf.DUMMYFUNCTION("""COMPUTED_VALUE"""),"lezahn")</f>
        <v>lezahn</v>
      </c>
      <c r="C237" s="1" t="str">
        <f ca="1">IFERROR(__xludf.DUMMYFUNCTION("""COMPUTED_VALUE"""),"In-transit")</f>
        <v>In-transit</v>
      </c>
      <c r="D237" s="3">
        <f ca="1">IFERROR(__xludf.DUMMYFUNCTION("""COMPUTED_VALUE"""),45499)</f>
        <v>45499</v>
      </c>
      <c r="E237" s="1"/>
      <c r="F237" s="1"/>
      <c r="G237" s="3">
        <f ca="1">IFERROR(__xludf.DUMMYFUNCTION("""COMPUTED_VALUE"""),45514)</f>
        <v>45514</v>
      </c>
      <c r="H237" s="3">
        <f ca="1">IFERROR(__xludf.DUMMYFUNCTION("""COMPUTED_VALUE"""),45514)</f>
        <v>45514</v>
      </c>
      <c r="I237" s="1"/>
      <c r="J237" s="1" t="str">
        <f ca="1">IFERROR(__xludf.DUMMYFUNCTION("""COMPUTED_VALUE"""),"Sea")</f>
        <v>Sea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4" t="str">
        <f ca="1">IFERROR(__xludf.DUMMYFUNCTION("""COMPUTED_VALUE"""),"#VALUE!")</f>
        <v>#VALUE!</v>
      </c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Ruvako Mabureki</dc:creator>
  <cp:lastModifiedBy>Ruvako Mabureki</cp:lastModifiedBy>
  <dcterms:created xsi:type="dcterms:W3CDTF">2024-07-29T11:36:32Z</dcterms:created>
  <dcterms:modified xsi:type="dcterms:W3CDTF">2024-07-29T11:37:13Z</dcterms:modified>
</cp:coreProperties>
</file>