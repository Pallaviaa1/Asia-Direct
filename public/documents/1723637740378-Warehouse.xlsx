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170"/>
  </bookViews>
  <sheets>
    <sheet name="Warehouse" sheetId="1" r:id="rId1"/>
  </sheets>
  <externalReferences>
    <externalReference r:id="rId2"/>
  </externalReferences>
  <definedNames>
    <definedName name="Z_C4028981_68FE_4352_B0D4_0A5953A224A6_.wvu.FilterData" localSheetId="0" hidden="1">Warehouse!$A$1:$Y$1000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<sst xmlns="http://schemas.openxmlformats.org/spreadsheetml/2006/main" count="999" uniqueCount="2">
  <si>
    <t>Waybill Ref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</si>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</sst>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"/>
  </numFmts>
  <fonts count="21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180" fontId="1" fillId="0" borderId="0" xfId="0" applyNumberFormat="1" applyFont="1"/>
    <xf numFmtId="1" fontId="1" fillId="0" borderId="0" xfId="0" applyNumberFormat="1" applyFont="1"/>
    <xf numFmtId="2" fontId="1" fillId="0" borderId="0" xfId="0" applyNumberFormat="1" applyFont="1"/>
    <xf numFmtId="0" fontId="1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nsolidation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nsolidation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AB1000"/>
  <sheetViews>
    <sheetView tabSelected="1" topLeftCell="F1" workbookViewId="0">
      <selection activeCell="L1" sqref="L1"/>
    </sheetView>
  </sheetViews>
  <sheetFormatPr defaultColWidth="14.4380952380952" defaultRowHeight="15" customHeight="1"/>
  <cols>
    <col min="27" max="27" width="17.552380952381" customWidth="1"/>
  </cols>
  <sheetData>
    <row r="1" customHeight="1" spans="1:28">
      <c r="A1" s="1" t="str">
        <f>IFERROR(__xludf.DUMMYFUNCTION("IMPORTRANGE(""https://docs.google.com/spreadsheets/d/18liDA4hn6_fSEZ7329yCCuPCy7SttA4FuKC6N2QTr84/edit#gid=1307169678"",""Warehouse MIA!B:z"")"),"Serial Number")</f>
        <v>Serial Number</v>
      </c>
      <c r="B1" s="1" t="str">
        <f>IFERROR(__xludf.DUMMYFUNCTION("""COMPUTED_VALUE"""),"Date")</f>
        <v>Date</v>
      </c>
      <c r="C1" s="1" t="str">
        <f>IFERROR(__xludf.DUMMYFUNCTION("""COMPUTED_VALUE"""),"Client Name")</f>
        <v>Client Name</v>
      </c>
      <c r="D1" s="1" t="str">
        <f>IFERROR(__xludf.DUMMYFUNCTION("""COMPUTED_VALUE"""),"Client Ref")</f>
        <v>Client Ref</v>
      </c>
      <c r="E1" s="1" t="str">
        <f>IFERROR(__xludf.DUMMYFUNCTION("""COMPUTED_VALUE"""),"Product Description")</f>
        <v>Product Description</v>
      </c>
      <c r="F1" s="1" t="str">
        <f>IFERROR(__xludf.DUMMYFUNCTION("""COMPUTED_VALUE"""),"Harzodous")</f>
        <v>Harzodous</v>
      </c>
      <c r="G1" s="1" t="str">
        <f>IFERROR(__xludf.DUMMYFUNCTION("""COMPUTED_VALUE"""),"Freight")</f>
        <v>Freight</v>
      </c>
      <c r="H1" s="1" t="str">
        <f>IFERROR(__xludf.DUMMYFUNCTION("""COMPUTED_VALUE"""),"Groupage Batch Reference")</f>
        <v>Groupage Batch Reference</v>
      </c>
      <c r="I1" s="1" t="str">
        <f>IFERROR(__xludf.DUMMYFUNCTION("""COMPUTED_VALUE"""),"Supplier")</f>
        <v>Supplier</v>
      </c>
      <c r="J1" s="1" t="str">
        <f>IFERROR(__xludf.DUMMYFUNCTION("""COMPUTED_VALUE"""),"Warehouse Receipt Number")</f>
        <v>Warehouse Receipt Number</v>
      </c>
      <c r="K1" s="1" t="str">
        <f>IFERROR(__xludf.DUMMYFUNCTION("""COMPUTED_VALUE"""),"Tracking number")</f>
        <v>Tracking number</v>
      </c>
      <c r="L1" s="1" t="str">
        <f>IFERROR(__xludf.DUMMYFUNCTION("""COMPUTED_VALUE"""),"Date Received")</f>
        <v>Date Received</v>
      </c>
      <c r="M1" s="1" t="str">
        <f>IFERROR(__xludf.DUMMYFUNCTION("""COMPUTED_VALUE"""),"Place of Receipt / Supplier Address")</f>
        <v>Place of Receipt / Supplier Address</v>
      </c>
      <c r="N1" s="1" t="str">
        <f>IFERROR(__xludf.DUMMYFUNCTION("""COMPUTED_VALUE"""),"Package Type")</f>
        <v>Package Type</v>
      </c>
      <c r="O1" s="1" t="str">
        <f>IFERROR(__xludf.DUMMYFUNCTION("""COMPUTED_VALUE"""),"Packages")</f>
        <v>Packages</v>
      </c>
      <c r="P1" s="1" t="str">
        <f>IFERROR(__xludf.DUMMYFUNCTION("""COMPUTED_VALUE"""),"Dimension")</f>
        <v>Dimension</v>
      </c>
      <c r="Q1" s="1" t="str">
        <f>IFERROR(__xludf.DUMMYFUNCTION("""COMPUTED_VALUE"""),"Weight")</f>
        <v>Weight</v>
      </c>
      <c r="R1" s="1" t="str">
        <f>IFERROR(__xludf.DUMMYFUNCTION("""COMPUTED_VALUE"""),"Warehouse Collect")</f>
        <v>Warehouse Collect</v>
      </c>
      <c r="S1" s="1" t="str">
        <f>IFERROR(__xludf.DUMMYFUNCTION("""COMPUTED_VALUE"""),"Costs to Collect")</f>
        <v>Costs to Collect</v>
      </c>
      <c r="T1" s="1" t="str">
        <f>IFERROR(__xludf.DUMMYFUNCTION("""COMPUTED_VALUE"""),"Port of Loading")</f>
        <v>Port of Loading</v>
      </c>
      <c r="U1" s="1" t="str">
        <f>IFERROR(__xludf.DUMMYFUNCTION("""COMPUTED_VALUE"""),"Place of Delivery")</f>
        <v>Place of Delivery</v>
      </c>
      <c r="V1" s="1" t="str">
        <f>IFERROR(__xludf.DUMMYFUNCTION("""COMPUTED_VALUE"""),"Date Dispatched")</f>
        <v>Date Dispatched</v>
      </c>
      <c r="W1" s="1" t="str">
        <f>IFERROR(__xludf.DUMMYFUNCTION("""COMPUTED_VALUE"""),"Warehouse_Dispatch")</f>
        <v>Warehouse_Dispatch</v>
      </c>
      <c r="X1" s="1" t="str">
        <f>IFERROR(__xludf.DUMMYFUNCTION("""COMPUTED_VALUE"""),"Warehouse cost")</f>
        <v>Warehouse cost</v>
      </c>
      <c r="Y1" s="1" t="str">
        <f>IFERROR(__xludf.DUMMYFUNCTION("""COMPUTED_VALUE"""),"Cost to Dispatch")</f>
        <v>Cost to Dispatch</v>
      </c>
      <c r="Z1" s="1"/>
      <c r="AA1" s="5" t="s">
        <v>0</v>
      </c>
      <c r="AB1" s="5"/>
    </row>
    <row r="2" customHeight="1" spans="1:2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5" t="str">
        <f t="shared" ref="AA2:AA3" si="0">IF(A2&gt;"",H2&amp;"/"&amp;A2,"")</f>
        <v/>
      </c>
      <c r="AB2" s="5" t="e">
        <f>IF(H2=[1]Consolidations!$A$6,1+COUNT(AB1),"")</f>
        <v>#REF!</v>
      </c>
    </row>
    <row r="3" customHeight="1" spans="1:2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5" t="str">
        <f t="shared" si="0"/>
        <v/>
      </c>
      <c r="AB3" s="5" t="s">
        <v>1</v>
      </c>
    </row>
    <row r="4" customHeight="1" spans="1:28">
      <c r="A4" s="1">
        <f>IFERROR(__xludf.DUMMYFUNCTION("""COMPUTED_VALUE"""),680)</f>
        <v>680</v>
      </c>
      <c r="B4" s="2">
        <f>IFERROR(__xludf.DUMMYFUNCTION("""COMPUTED_VALUE"""),45429)</f>
        <v>45429</v>
      </c>
      <c r="C4" s="1" t="str">
        <f>IFERROR(__xludf.DUMMYFUNCTION("""COMPUTED_VALUE"""),"Jaco Grobler")</f>
        <v>Jaco Grobler</v>
      </c>
      <c r="D4" s="1"/>
      <c r="E4" s="1" t="str">
        <f>IFERROR(__xludf.DUMMYFUNCTION("""COMPUTED_VALUE"""),"Shaving Stand and Al Soap Box")</f>
        <v>Shaving Stand and Al Soap Box</v>
      </c>
      <c r="F4" s="1" t="str">
        <f>IFERROR(__xludf.DUMMYFUNCTION("""COMPUTED_VALUE"""),"No")</f>
        <v>No</v>
      </c>
      <c r="G4" s="1" t="str">
        <f>IFERROR(__xludf.DUMMYFUNCTION("""COMPUTED_VALUE"""),"Sea")</f>
        <v>Sea</v>
      </c>
      <c r="H4" s="1" t="str">
        <f>IFERROR(__xludf.DUMMYFUNCTION("""COMPUTED_VALUE"""),"ADSWB2405033")</f>
        <v>ADSWB2405033</v>
      </c>
      <c r="I4" s="1"/>
      <c r="J4" s="1" t="str">
        <f>IFERROR(__xludf.DUMMYFUNCTION("""COMPUTED_VALUE"""),"JW-T0263-240523-8172")</f>
        <v>JW-T0263-240523-8172</v>
      </c>
      <c r="K4" s="1" t="str">
        <f>IFERROR(__xludf.DUMMYFUNCTION("""COMPUTED_VALUE"""),"300569274635")</f>
        <v>300569274635</v>
      </c>
      <c r="L4" s="2">
        <f>IFERROR(__xludf.DUMMYFUNCTION("""COMPUTED_VALUE"""),45435)</f>
        <v>45435</v>
      </c>
      <c r="M4" s="1" t="str">
        <f>IFERROR(__xludf.DUMMYFUNCTION("""COMPUTED_VALUE"""),"Guangzhou Color Fans Beauty Tools Co., Ltd")</f>
        <v>Guangzhou Color Fans Beauty Tools Co., Ltd</v>
      </c>
      <c r="N4" s="1" t="str">
        <f>IFERROR(__xludf.DUMMYFUNCTION("""COMPUTED_VALUE"""),"Box")</f>
        <v>Box</v>
      </c>
      <c r="O4" s="3">
        <f>IFERROR(__xludf.DUMMYFUNCTION("""COMPUTED_VALUE"""),4)</f>
        <v>4</v>
      </c>
      <c r="P4" s="4">
        <f>IFERROR(__xludf.DUMMYFUNCTION("""COMPUTED_VALUE"""),0.37)</f>
        <v>0.37</v>
      </c>
      <c r="Q4" s="4">
        <f>IFERROR(__xludf.DUMMYFUNCTION("""COMPUTED_VALUE"""),51.5)</f>
        <v>51.5</v>
      </c>
      <c r="R4" s="1"/>
      <c r="S4" s="1"/>
      <c r="T4" s="1" t="str">
        <f>IFERROR(__xludf.DUMMYFUNCTION("""COMPUTED_VALUE"""),"Any nearest port")</f>
        <v>Any nearest port</v>
      </c>
      <c r="U4" s="1" t="str">
        <f>IFERROR(__xludf.DUMMYFUNCTION("""COMPUTED_VALUE"""),"Johannesburg")</f>
        <v>Johannesburg</v>
      </c>
      <c r="V4" s="2">
        <f>IFERROR(__xludf.DUMMYFUNCTION("""COMPUTED_VALUE"""),45440)</f>
        <v>45440</v>
      </c>
      <c r="W4" s="1"/>
      <c r="X4" s="1">
        <f>IFERROR(__xludf.DUMMYFUNCTION("""COMPUTED_VALUE"""),15.6)</f>
        <v>15.6</v>
      </c>
      <c r="Y4" s="1"/>
      <c r="Z4" s="1"/>
      <c r="AA4" s="5" t="str">
        <f t="shared" ref="AA4:AA258" si="1">IF(A4&lt;&gt;"",H4&amp;"/"&amp;A4,"")</f>
        <v>ADSWB2405033/680</v>
      </c>
      <c r="AB4" s="5" t="s">
        <v>1</v>
      </c>
    </row>
    <row r="5" customHeight="1" spans="1:28">
      <c r="A5" s="1">
        <f>IFERROR(__xludf.DUMMYFUNCTION("""COMPUTED_VALUE"""),658)</f>
        <v>658</v>
      </c>
      <c r="B5" s="2">
        <f>IFERROR(__xludf.DUMMYFUNCTION("""COMPUTED_VALUE"""),45418)</f>
        <v>45418</v>
      </c>
      <c r="C5" s="1" t="str">
        <f>IFERROR(__xludf.DUMMYFUNCTION("""COMPUTED_VALUE"""),"Heide med pharmacy")</f>
        <v>Heide med pharmacy</v>
      </c>
      <c r="D5" s="1"/>
      <c r="E5" s="1" t="str">
        <f>IFERROR(__xludf.DUMMYFUNCTION("""COMPUTED_VALUE"""),"Silicone T Shaped Drain")</f>
        <v>Silicone T Shaped Drain</v>
      </c>
      <c r="F5" s="1" t="str">
        <f>IFERROR(__xludf.DUMMYFUNCTION("""COMPUTED_VALUE"""),"No")</f>
        <v>No</v>
      </c>
      <c r="G5" s="1" t="str">
        <f>IFERROR(__xludf.DUMMYFUNCTION("""COMPUTED_VALUE"""),"Air")</f>
        <v>Air</v>
      </c>
      <c r="H5" s="1" t="str">
        <f>IFERROR(__xludf.DUMMYFUNCTION("""COMPUTED_VALUE"""),"ADAWB2405032")</f>
        <v>ADAWB2405032</v>
      </c>
      <c r="I5" s="1"/>
      <c r="J5" s="1"/>
      <c r="K5" s="1" t="str">
        <f>IFERROR(__xludf.DUMMYFUNCTION("""COMPUTED_VALUE"""),"SF 152 850 340 3714")</f>
        <v>SF 152 850 340 3714</v>
      </c>
      <c r="L5" s="2">
        <f>IFERROR(__xludf.DUMMYFUNCTION("""COMPUTED_VALUE"""),45427)</f>
        <v>45427</v>
      </c>
      <c r="M5" s="1" t="str">
        <f>IFERROR(__xludf.DUMMYFUNCTION("""COMPUTED_VALUE"""),"Hangzhou, Zhejiang, China")</f>
        <v>Hangzhou, Zhejiang, China</v>
      </c>
      <c r="N5" s="1" t="str">
        <f>IFERROR(__xludf.DUMMYFUNCTION("""COMPUTED_VALUE"""),"Box")</f>
        <v>Box</v>
      </c>
      <c r="O5" s="3">
        <f>IFERROR(__xludf.DUMMYFUNCTION("""COMPUTED_VALUE"""),1)</f>
        <v>1</v>
      </c>
      <c r="P5" s="4">
        <f>IFERROR(__xludf.DUMMYFUNCTION("""COMPUTED_VALUE"""),0.07)</f>
        <v>0.07</v>
      </c>
      <c r="Q5" s="4">
        <f>IFERROR(__xludf.DUMMYFUNCTION("""COMPUTED_VALUE"""),14.51)</f>
        <v>14.51</v>
      </c>
      <c r="R5" s="1"/>
      <c r="S5" s="1"/>
      <c r="T5" s="1" t="str">
        <f>IFERROR(__xludf.DUMMYFUNCTION("""COMPUTED_VALUE"""),"Any nearest")</f>
        <v>Any nearest</v>
      </c>
      <c r="U5" s="1" t="str">
        <f>IFERROR(__xludf.DUMMYFUNCTION("""COMPUTED_VALUE"""),"56 Heatherdale , Heide med pharmacy , Heidedal , Bloemfontein")</f>
        <v>56 Heatherdale , Heide med pharmacy , Heidedal , Bloemfontein</v>
      </c>
      <c r="V5" s="2">
        <f>IFERROR(__xludf.DUMMYFUNCTION("""COMPUTED_VALUE"""),45434)</f>
        <v>45434</v>
      </c>
      <c r="W5" s="1" t="b">
        <f>IFERROR(__xludf.DUMMYFUNCTION("""COMPUTED_VALUE"""),TRUE)</f>
        <v>1</v>
      </c>
      <c r="X5" s="1">
        <f>IFERROR(__xludf.DUMMYFUNCTION("""COMPUTED_VALUE"""),7.8)</f>
        <v>7.8</v>
      </c>
      <c r="Y5" s="1">
        <f>IFERROR(__xludf.DUMMYFUNCTION("""COMPUTED_VALUE"""),5.5)</f>
        <v>5.5</v>
      </c>
      <c r="Z5" s="1"/>
      <c r="AA5" s="5" t="str">
        <f t="shared" si="1"/>
        <v>ADAWB2405032/658</v>
      </c>
      <c r="AB5" s="5" t="s">
        <v>1</v>
      </c>
    </row>
    <row r="6" customHeight="1" spans="1:28">
      <c r="A6" s="1">
        <f>IFERROR(__xludf.DUMMYFUNCTION("""COMPUTED_VALUE"""),647)</f>
        <v>647</v>
      </c>
      <c r="B6" s="2">
        <f>IFERROR(__xludf.DUMMYFUNCTION("""COMPUTED_VALUE"""),45411)</f>
        <v>45411</v>
      </c>
      <c r="C6" s="1" t="str">
        <f>IFERROR(__xludf.DUMMYFUNCTION("""COMPUTED_VALUE"""),"Yonda")</f>
        <v>Yonda</v>
      </c>
      <c r="D6" s="1"/>
      <c r="E6" s="1" t="str">
        <f>IFERROR(__xludf.DUMMYFUNCTION("""COMPUTED_VALUE"""),"Stainless Steel 304 Welded round pipe and Fireplace glass")</f>
        <v>Stainless Steel 304 Welded round pipe and Fireplace glass</v>
      </c>
      <c r="F6" s="1" t="str">
        <f>IFERROR(__xludf.DUMMYFUNCTION("""COMPUTED_VALUE"""),"No")</f>
        <v>No</v>
      </c>
      <c r="G6" s="1" t="str">
        <f>IFERROR(__xludf.DUMMYFUNCTION("""COMPUTED_VALUE"""),"Sea")</f>
        <v>Sea</v>
      </c>
      <c r="H6" s="1" t="str">
        <f>IFERROR(__xludf.DUMMYFUNCTION("""COMPUTED_VALUE"""),"ADSWB2405033")</f>
        <v>ADSWB2405033</v>
      </c>
      <c r="I6" s="1"/>
      <c r="J6" s="1" t="str">
        <f>IFERROR(__xludf.DUMMYFUNCTION("""COMPUTED_VALUE"""),"JW-T0263-240517-8697")</f>
        <v>JW-T0263-240517-8697</v>
      </c>
      <c r="K6" s="1" t="str">
        <f>IFERROR(__xludf.DUMMYFUNCTION("""COMPUTED_VALUE"""),"1030172071")</f>
        <v>1030172071</v>
      </c>
      <c r="L6" s="2">
        <f>IFERROR(__xludf.DUMMYFUNCTION("""COMPUTED_VALUE"""),45429)</f>
        <v>45429</v>
      </c>
      <c r="M6" s="1" t="str">
        <f>IFERROR(__xludf.DUMMYFUNCTION("""COMPUTED_VALUE"""),"Zaoyuan Rd ,Lianhu Dist,Xi'an City, Shaanxi Province, China")</f>
        <v>Zaoyuan Rd ,Lianhu Dist,Xi'an City, Shaanxi Province, China</v>
      </c>
      <c r="N6" s="1" t="str">
        <f>IFERROR(__xludf.DUMMYFUNCTION("""COMPUTED_VALUE"""),"Box")</f>
        <v>Box</v>
      </c>
      <c r="O6" s="3">
        <f>IFERROR(__xludf.DUMMYFUNCTION("""COMPUTED_VALUE"""),1)</f>
        <v>1</v>
      </c>
      <c r="P6" s="4">
        <f>IFERROR(__xludf.DUMMYFUNCTION("""COMPUTED_VALUE"""),0.33)</f>
        <v>0.33</v>
      </c>
      <c r="Q6" s="4">
        <f>IFERROR(__xludf.DUMMYFUNCTION("""COMPUTED_VALUE"""),56)</f>
        <v>56</v>
      </c>
      <c r="R6" s="1"/>
      <c r="S6" s="1"/>
      <c r="T6" s="1" t="str">
        <f>IFERROR(__xludf.DUMMYFUNCTION("""COMPUTED_VALUE"""),"Any Nearest Port")</f>
        <v>Any Nearest Port</v>
      </c>
      <c r="U6" s="1" t="str">
        <f>IFERROR(__xludf.DUMMYFUNCTION("""COMPUTED_VALUE"""),"945 Salinga crescent, extension 3, Fleurhof, Roodepoort, 1709")</f>
        <v>945 Salinga crescent, extension 3, Fleurhof, Roodepoort, 1709</v>
      </c>
      <c r="V6" s="2">
        <f>IFERROR(__xludf.DUMMYFUNCTION("""COMPUTED_VALUE"""),45440)</f>
        <v>45440</v>
      </c>
      <c r="W6" s="1"/>
      <c r="X6" s="1">
        <f>IFERROR(__xludf.DUMMYFUNCTION("""COMPUTED_VALUE"""),23.4)</f>
        <v>23.4</v>
      </c>
      <c r="Y6" s="1"/>
      <c r="Z6" s="1"/>
      <c r="AA6" s="5" t="str">
        <f t="shared" si="1"/>
        <v>ADSWB2405033/647</v>
      </c>
      <c r="AB6" s="5" t="s">
        <v>1</v>
      </c>
    </row>
    <row r="7" customHeight="1" spans="1:28">
      <c r="A7" s="1">
        <f>IFERROR(__xludf.DUMMYFUNCTION("""COMPUTED_VALUE"""),597)</f>
        <v>597</v>
      </c>
      <c r="B7" s="2">
        <f>IFERROR(__xludf.DUMMYFUNCTION("""COMPUTED_VALUE"""),45428)</f>
        <v>45428</v>
      </c>
      <c r="C7" s="1" t="str">
        <f>IFERROR(__xludf.DUMMYFUNCTION("""COMPUTED_VALUE"""),"Brent Badenhorst")</f>
        <v>Brent Badenhorst</v>
      </c>
      <c r="D7" s="1"/>
      <c r="E7" s="1" t="str">
        <f>IFERROR(__xludf.DUMMYFUNCTION("""COMPUTED_VALUE"""),"Webbing Vests")</f>
        <v>Webbing Vests</v>
      </c>
      <c r="F7" s="1" t="str">
        <f>IFERROR(__xludf.DUMMYFUNCTION("""COMPUTED_VALUE"""),"No")</f>
        <v>No</v>
      </c>
      <c r="G7" s="1" t="str">
        <f>IFERROR(__xludf.DUMMYFUNCTION("""COMPUTED_VALUE"""),"Sea")</f>
        <v>Sea</v>
      </c>
      <c r="H7" s="1" t="str">
        <f>IFERROR(__xludf.DUMMYFUNCTION("""COMPUTED_VALUE"""),"ADSWB2405033")</f>
        <v>ADSWB2405033</v>
      </c>
      <c r="I7" s="1"/>
      <c r="J7" s="1" t="str">
        <f>IFERROR(__xludf.DUMMYFUNCTION("""COMPUTED_VALUE"""),"JW-T0263-240524-0443 &amp; JW-T0263-240522-4322")</f>
        <v>JW-T0263-240524-0443 &amp; JW-T0263-240522-4322</v>
      </c>
      <c r="K7" s="1" t="str">
        <f>IFERROR(__xludf.DUMMYFUNCTION("""COMPUTED_VALUE"""),"8007070108254")</f>
        <v>8007070108254</v>
      </c>
      <c r="L7" s="2">
        <f>IFERROR(__xludf.DUMMYFUNCTION("""COMPUTED_VALUE"""),45434)</f>
        <v>45434</v>
      </c>
      <c r="M7" s="1"/>
      <c r="N7" s="1" t="str">
        <f>IFERROR(__xludf.DUMMYFUNCTION("""COMPUTED_VALUE"""),"Box")</f>
        <v>Box</v>
      </c>
      <c r="O7" s="3">
        <f>IFERROR(__xludf.DUMMYFUNCTION("""COMPUTED_VALUE"""),5)</f>
        <v>5</v>
      </c>
      <c r="P7" s="4">
        <f>IFERROR(__xludf.DUMMYFUNCTION("""COMPUTED_VALUE"""),0.66)</f>
        <v>0.66</v>
      </c>
      <c r="Q7" s="4">
        <f>IFERROR(__xludf.DUMMYFUNCTION("""COMPUTED_VALUE"""),90)</f>
        <v>90</v>
      </c>
      <c r="R7" s="1"/>
      <c r="S7" s="1"/>
      <c r="T7" s="1" t="str">
        <f>IFERROR(__xludf.DUMMYFUNCTION("""COMPUTED_VALUE"""),"Any nearest port")</f>
        <v>Any nearest port</v>
      </c>
      <c r="U7" s="1" t="str">
        <f>IFERROR(__xludf.DUMMYFUNCTION("""COMPUTED_VALUE"""),"Durban")</f>
        <v>Durban</v>
      </c>
      <c r="V7" s="2">
        <f>IFERROR(__xludf.DUMMYFUNCTION("""COMPUTED_VALUE"""),45440)</f>
        <v>45440</v>
      </c>
      <c r="W7" s="1"/>
      <c r="X7" s="1"/>
      <c r="Y7" s="1"/>
      <c r="Z7" s="1"/>
      <c r="AA7" s="5" t="str">
        <f t="shared" si="1"/>
        <v>ADSWB2405033/597</v>
      </c>
      <c r="AB7" s="5" t="s">
        <v>1</v>
      </c>
    </row>
    <row r="8" customHeight="1" spans="1:28">
      <c r="A8" s="1">
        <f>IFERROR(__xludf.DUMMYFUNCTION("""COMPUTED_VALUE"""),521)</f>
        <v>521</v>
      </c>
      <c r="B8" s="2">
        <f>IFERROR(__xludf.DUMMYFUNCTION("""COMPUTED_VALUE"""),45344)</f>
        <v>45344</v>
      </c>
      <c r="C8" s="1" t="str">
        <f>IFERROR(__xludf.DUMMYFUNCTION("""COMPUTED_VALUE"""),"Geleza Tech")</f>
        <v>Geleza Tech</v>
      </c>
      <c r="D8" s="1"/>
      <c r="E8" s="1" t="str">
        <f>IFERROR(__xludf.DUMMYFUNCTION("""COMPUTED_VALUE"""),"Calculators")</f>
        <v>Calculators</v>
      </c>
      <c r="F8" s="1" t="str">
        <f>IFERROR(__xludf.DUMMYFUNCTION("""COMPUTED_VALUE"""),"No")</f>
        <v>No</v>
      </c>
      <c r="G8" s="1" t="str">
        <f>IFERROR(__xludf.DUMMYFUNCTION("""COMPUTED_VALUE"""),"Sea")</f>
        <v>Sea</v>
      </c>
      <c r="H8" s="1" t="str">
        <f>IFERROR(__xludf.DUMMYFUNCTION("""COMPUTED_VALUE"""),"ADSWB2405033")</f>
        <v>ADSWB2405033</v>
      </c>
      <c r="I8" s="1"/>
      <c r="J8" s="1" t="str">
        <f>IFERROR(__xludf.DUMMYFUNCTION("""COMPUTED_VALUE"""),"JW-T0263-240520-0573")</f>
        <v>JW-T0263-240520-0573</v>
      </c>
      <c r="K8" s="1" t="str">
        <f>IFERROR(__xludf.DUMMYFUNCTION("""COMPUTED_VALUE"""),"910009184874")</f>
        <v>910009184874</v>
      </c>
      <c r="L8" s="2">
        <f>IFERROR(__xludf.DUMMYFUNCTION("""COMPUTED_VALUE"""),45432)</f>
        <v>45432</v>
      </c>
      <c r="M8" s="1" t="str">
        <f>IFERROR(__xludf.DUMMYFUNCTION("""COMPUTED_VALUE"""),"Shenzhen")</f>
        <v>Shenzhen</v>
      </c>
      <c r="N8" s="1" t="str">
        <f>IFERROR(__xludf.DUMMYFUNCTION("""COMPUTED_VALUE"""),"Box")</f>
        <v>Box</v>
      </c>
      <c r="O8" s="3">
        <f>IFERROR(__xludf.DUMMYFUNCTION("""COMPUTED_VALUE"""),7)</f>
        <v>7</v>
      </c>
      <c r="P8" s="4">
        <f>IFERROR(__xludf.DUMMYFUNCTION("""COMPUTED_VALUE"""),0.35)</f>
        <v>0.35</v>
      </c>
      <c r="Q8" s="4">
        <f>IFERROR(__xludf.DUMMYFUNCTION("""COMPUTED_VALUE"""),126)</f>
        <v>126</v>
      </c>
      <c r="R8" s="1"/>
      <c r="S8" s="1"/>
      <c r="T8" s="1" t="str">
        <f>IFERROR(__xludf.DUMMYFUNCTION("""COMPUTED_VALUE"""),"Any Nearest")</f>
        <v>Any Nearest</v>
      </c>
      <c r="U8" s="1" t="str">
        <f>IFERROR(__xludf.DUMMYFUNCTION("""COMPUTED_VALUE"""),"Midrand")</f>
        <v>Midrand</v>
      </c>
      <c r="V8" s="2">
        <f>IFERROR(__xludf.DUMMYFUNCTION("""COMPUTED_VALUE"""),45440)</f>
        <v>45440</v>
      </c>
      <c r="W8" s="1"/>
      <c r="X8" s="1">
        <f>IFERROR(__xludf.DUMMYFUNCTION("""COMPUTED_VALUE"""),19.5)</f>
        <v>19.5</v>
      </c>
      <c r="Y8" s="1"/>
      <c r="Z8" s="1"/>
      <c r="AA8" s="5" t="str">
        <f t="shared" si="1"/>
        <v>ADSWB2405033/521</v>
      </c>
      <c r="AB8" s="5" t="s">
        <v>1</v>
      </c>
    </row>
    <row r="9" customHeight="1" spans="1:28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5" t="str">
        <f t="shared" si="1"/>
        <v/>
      </c>
      <c r="AB9" s="5" t="s">
        <v>1</v>
      </c>
    </row>
    <row r="10" customHeight="1" spans="1:28">
      <c r="A10" s="1">
        <f>IFERROR(__xludf.DUMMYFUNCTION("""COMPUTED_VALUE"""),621)</f>
        <v>621</v>
      </c>
      <c r="B10" s="2">
        <f>IFERROR(__xludf.DUMMYFUNCTION("""COMPUTED_VALUE"""),45400)</f>
        <v>45400</v>
      </c>
      <c r="C10" s="1" t="str">
        <f>IFERROR(__xludf.DUMMYFUNCTION("""COMPUTED_VALUE"""),"Schalk")</f>
        <v>Schalk</v>
      </c>
      <c r="D10" s="1"/>
      <c r="E10" s="1" t="str">
        <f>IFERROR(__xludf.DUMMYFUNCTION("""COMPUTED_VALUE"""),"Coffee Electronics pulper peeling machine")</f>
        <v>Coffee Electronics pulper peeling machine</v>
      </c>
      <c r="F10" s="1" t="str">
        <f>IFERROR(__xludf.DUMMYFUNCTION("""COMPUTED_VALUE"""),"No")</f>
        <v>No</v>
      </c>
      <c r="G10" s="1" t="str">
        <f>IFERROR(__xludf.DUMMYFUNCTION("""COMPUTED_VALUE"""),"Sea")</f>
        <v>Sea</v>
      </c>
      <c r="H10" s="1" t="str">
        <f>IFERROR(__xludf.DUMMYFUNCTION("""COMPUTED_VALUE"""),"ADSWB2405033")</f>
        <v>ADSWB2405033</v>
      </c>
      <c r="I10" s="1"/>
      <c r="J10" s="1" t="str">
        <f>IFERROR(__xludf.DUMMYFUNCTION("""COMPUTED_VALUE"""),"JW-T0263-240521-7355")</f>
        <v>JW-T0263-240521-7355</v>
      </c>
      <c r="K10" s="1" t="str">
        <f>IFERROR(__xludf.DUMMYFUNCTION("""COMPUTED_VALUE"""),"800069380227 00010001")</f>
        <v>800069380227 00010001</v>
      </c>
      <c r="L10" s="2">
        <f>IFERROR(__xludf.DUMMYFUNCTION("""COMPUTED_VALUE"""),45433)</f>
        <v>45433</v>
      </c>
      <c r="M10" s="1"/>
      <c r="N10" s="1" t="str">
        <f>IFERROR(__xludf.DUMMYFUNCTION("""COMPUTED_VALUE"""),"Box")</f>
        <v>Box</v>
      </c>
      <c r="O10" s="3">
        <f>IFERROR(__xludf.DUMMYFUNCTION("""COMPUTED_VALUE"""),1)</f>
        <v>1</v>
      </c>
      <c r="P10" s="4">
        <f>IFERROR(__xludf.DUMMYFUNCTION("""COMPUTED_VALUE"""),0.07)</f>
        <v>0.07</v>
      </c>
      <c r="Q10" s="4">
        <f>IFERROR(__xludf.DUMMYFUNCTION("""COMPUTED_VALUE"""),27)</f>
        <v>27</v>
      </c>
      <c r="R10" s="1"/>
      <c r="S10" s="1"/>
      <c r="T10" s="1" t="str">
        <f>IFERROR(__xludf.DUMMYFUNCTION("""COMPUTED_VALUE"""),"Any nearest port")</f>
        <v>Any nearest port</v>
      </c>
      <c r="U10" s="1" t="str">
        <f>IFERROR(__xludf.DUMMYFUNCTION("""COMPUTED_VALUE"""),"Durban")</f>
        <v>Durban</v>
      </c>
      <c r="V10" s="2">
        <f>IFERROR(__xludf.DUMMYFUNCTION("""COMPUTED_VALUE"""),45440)</f>
        <v>45440</v>
      </c>
      <c r="W10" s="1"/>
      <c r="X10" s="1">
        <f>IFERROR(__xludf.DUMMYFUNCTION("""COMPUTED_VALUE"""),18.2)</f>
        <v>18.2</v>
      </c>
      <c r="Y10" s="1"/>
      <c r="Z10" s="1"/>
      <c r="AA10" s="5" t="str">
        <f t="shared" si="1"/>
        <v>ADSWB2405033/621</v>
      </c>
      <c r="AB10" s="5" t="s">
        <v>1</v>
      </c>
    </row>
    <row r="11" customHeight="1" spans="1:28">
      <c r="A11" s="1">
        <f>IFERROR(__xludf.DUMMYFUNCTION("""COMPUTED_VALUE"""),690)</f>
        <v>690</v>
      </c>
      <c r="B11" s="2">
        <f>IFERROR(__xludf.DUMMYFUNCTION("""COMPUTED_VALUE"""),45434)</f>
        <v>45434</v>
      </c>
      <c r="C11" s="1" t="str">
        <f>IFERROR(__xludf.DUMMYFUNCTION("""COMPUTED_VALUE"""),"Zolile")</f>
        <v>Zolile</v>
      </c>
      <c r="D11" s="1"/>
      <c r="E11" s="1" t="str">
        <f>IFERROR(__xludf.DUMMYFUNCTION("""COMPUTED_VALUE"""),"Kids sandals")</f>
        <v>Kids sandals</v>
      </c>
      <c r="F11" s="1" t="str">
        <f>IFERROR(__xludf.DUMMYFUNCTION("""COMPUTED_VALUE"""),"No")</f>
        <v>No</v>
      </c>
      <c r="G11" s="1" t="str">
        <f>IFERROR(__xludf.DUMMYFUNCTION("""COMPUTED_VALUE"""),"Sea")</f>
        <v>Sea</v>
      </c>
      <c r="H11" s="1" t="str">
        <f>IFERROR(__xludf.DUMMYFUNCTION("""COMPUTED_VALUE"""),"ADSWB2405033")</f>
        <v>ADSWB2405033</v>
      </c>
      <c r="I11" s="1"/>
      <c r="J11" s="1" t="str">
        <f>IFERROR(__xludf.DUMMYFUNCTION("""COMPUTED_VALUE"""),"JW-T0263-240530-4012")</f>
        <v>JW-T0263-240530-4012</v>
      </c>
      <c r="K11" s="1" t="str">
        <f>IFERROR(__xludf.DUMMYFUNCTION("""COMPUTED_VALUE"""),"790332413436")</f>
        <v>790332413436</v>
      </c>
      <c r="L11" s="2">
        <f>IFERROR(__xludf.DUMMYFUNCTION("""COMPUTED_VALUE"""),45442)</f>
        <v>45442</v>
      </c>
      <c r="M11" s="1"/>
      <c r="N11" s="1" t="str">
        <f>IFERROR(__xludf.DUMMYFUNCTION("""COMPUTED_VALUE"""),"Box")</f>
        <v>Box</v>
      </c>
      <c r="O11" s="3">
        <f>IFERROR(__xludf.DUMMYFUNCTION("""COMPUTED_VALUE"""),2)</f>
        <v>2</v>
      </c>
      <c r="P11" s="4">
        <f>IFERROR(__xludf.DUMMYFUNCTION("""COMPUTED_VALUE"""),0.38)</f>
        <v>0.38</v>
      </c>
      <c r="Q11" s="4">
        <f>IFERROR(__xludf.DUMMYFUNCTION("""COMPUTED_VALUE"""),14)</f>
        <v>14</v>
      </c>
      <c r="R11" s="1"/>
      <c r="S11" s="1"/>
      <c r="T11" s="1" t="str">
        <f>IFERROR(__xludf.DUMMYFUNCTION("""COMPUTED_VALUE"""),"Any nearest port")</f>
        <v>Any nearest port</v>
      </c>
      <c r="U11" s="1" t="str">
        <f>IFERROR(__xludf.DUMMYFUNCTION("""COMPUTED_VALUE"""),"Pietermaritzburg")</f>
        <v>Pietermaritzburg</v>
      </c>
      <c r="V11" s="2">
        <f>IFERROR(__xludf.DUMMYFUNCTION("""COMPUTED_VALUE"""),45440)</f>
        <v>45440</v>
      </c>
      <c r="W11" s="1"/>
      <c r="X11" s="1"/>
      <c r="Y11" s="1"/>
      <c r="Z11" s="1"/>
      <c r="AA11" s="5" t="str">
        <f t="shared" si="1"/>
        <v>ADSWB2405033/690</v>
      </c>
      <c r="AB11" s="5" t="s">
        <v>1</v>
      </c>
    </row>
    <row r="12" customHeight="1" spans="1:28">
      <c r="A12" s="1">
        <f>IFERROR(__xludf.DUMMYFUNCTION("""COMPUTED_VALUE"""),705)</f>
        <v>705</v>
      </c>
      <c r="B12" s="2">
        <f>IFERROR(__xludf.DUMMYFUNCTION("""COMPUTED_VALUE"""),45440)</f>
        <v>45440</v>
      </c>
      <c r="C12" s="1" t="str">
        <f>IFERROR(__xludf.DUMMYFUNCTION("""COMPUTED_VALUE"""),"Pillot")</f>
        <v>Pillot</v>
      </c>
      <c r="D12" s="1"/>
      <c r="E12" s="1" t="str">
        <f>IFERROR(__xludf.DUMMYFUNCTION("""COMPUTED_VALUE"""),"Phone screen")</f>
        <v>Phone screen</v>
      </c>
      <c r="F12" s="1" t="str">
        <f>IFERROR(__xludf.DUMMYFUNCTION("""COMPUTED_VALUE"""),"No")</f>
        <v>No</v>
      </c>
      <c r="G12" s="1" t="str">
        <f>IFERROR(__xludf.DUMMYFUNCTION("""COMPUTED_VALUE"""),"Sea")</f>
        <v>Sea</v>
      </c>
      <c r="H12" s="1" t="str">
        <f>IFERROR(__xludf.DUMMYFUNCTION("""COMPUTED_VALUE"""),"ADSWB2405033")</f>
        <v>ADSWB2405033</v>
      </c>
      <c r="I12" s="1"/>
      <c r="J12" s="1" t="str">
        <f>IFERROR(__xludf.DUMMYFUNCTION("""COMPUTED_VALUE"""),"JW-T0263-240523-4924")</f>
        <v>JW-T0263-240523-4924</v>
      </c>
      <c r="K12" s="1" t="str">
        <f>IFERROR(__xludf.DUMMYFUNCTION("""COMPUTED_VALUE"""),"YT7467475523782")</f>
        <v>YT7467475523782</v>
      </c>
      <c r="L12" s="2">
        <f>IFERROR(__xludf.DUMMYFUNCTION("""COMPUTED_VALUE"""),45440)</f>
        <v>45440</v>
      </c>
      <c r="M12" s="1" t="str">
        <f>IFERROR(__xludf.DUMMYFUNCTION("""COMPUTED_VALUE"""),"Asia Direct Warehouse")</f>
        <v>Asia Direct Warehouse</v>
      </c>
      <c r="N12" s="1" t="str">
        <f>IFERROR(__xludf.DUMMYFUNCTION("""COMPUTED_VALUE"""),"Box")</f>
        <v>Box</v>
      </c>
      <c r="O12" s="3">
        <f>IFERROR(__xludf.DUMMYFUNCTION("""COMPUTED_VALUE"""),1)</f>
        <v>1</v>
      </c>
      <c r="P12" s="4">
        <f>IFERROR(__xludf.DUMMYFUNCTION("""COMPUTED_VALUE"""),0.01)</f>
        <v>0.01</v>
      </c>
      <c r="Q12" s="4">
        <f>IFERROR(__xludf.DUMMYFUNCTION("""COMPUTED_VALUE"""),1)</f>
        <v>1</v>
      </c>
      <c r="R12" s="1"/>
      <c r="S12" s="1"/>
      <c r="T12" s="1" t="str">
        <f>IFERROR(__xludf.DUMMYFUNCTION("""COMPUTED_VALUE"""),"Any nearest port")</f>
        <v>Any nearest port</v>
      </c>
      <c r="U12" s="1" t="str">
        <f>IFERROR(__xludf.DUMMYFUNCTION("""COMPUTED_VALUE"""),"Melville Johannesburg")</f>
        <v>Melville Johannesburg</v>
      </c>
      <c r="V12" s="2">
        <f>IFERROR(__xludf.DUMMYFUNCTION("""COMPUTED_VALUE"""),45440)</f>
        <v>45440</v>
      </c>
      <c r="W12" s="1"/>
      <c r="X12" s="1">
        <f>IFERROR(__xludf.DUMMYFUNCTION("""COMPUTED_VALUE"""),15.6)</f>
        <v>15.6</v>
      </c>
      <c r="Y12" s="1"/>
      <c r="Z12" s="1"/>
      <c r="AA12" s="5" t="str">
        <f t="shared" si="1"/>
        <v>ADSWB2405033/705</v>
      </c>
      <c r="AB12" s="5" t="s">
        <v>1</v>
      </c>
    </row>
    <row r="13" customHeight="1" spans="1:28">
      <c r="A13" s="1">
        <f>IFERROR(__xludf.DUMMYFUNCTION("""COMPUTED_VALUE"""),704)</f>
        <v>704</v>
      </c>
      <c r="B13" s="2">
        <f>IFERROR(__xludf.DUMMYFUNCTION("""COMPUTED_VALUE"""),45440)</f>
        <v>45440</v>
      </c>
      <c r="C13" s="1" t="str">
        <f>IFERROR(__xludf.DUMMYFUNCTION("""COMPUTED_VALUE"""),"Pillot")</f>
        <v>Pillot</v>
      </c>
      <c r="D13" s="1"/>
      <c r="E13" s="1" t="str">
        <f>IFERROR(__xludf.DUMMYFUNCTION("""COMPUTED_VALUE"""),"Juice  maker")</f>
        <v>Juice  maker</v>
      </c>
      <c r="F13" s="1" t="str">
        <f>IFERROR(__xludf.DUMMYFUNCTION("""COMPUTED_VALUE"""),"No")</f>
        <v>No</v>
      </c>
      <c r="G13" s="1" t="str">
        <f>IFERROR(__xludf.DUMMYFUNCTION("""COMPUTED_VALUE"""),"Sea")</f>
        <v>Sea</v>
      </c>
      <c r="H13" s="1" t="str">
        <f>IFERROR(__xludf.DUMMYFUNCTION("""COMPUTED_VALUE"""),"ADSWB2405033")</f>
        <v>ADSWB2405033</v>
      </c>
      <c r="I13" s="1"/>
      <c r="J13" s="1" t="str">
        <f>IFERROR(__xludf.DUMMYFUNCTION("""COMPUTED_VALUE"""),"JW-T0263-240524-2078")</f>
        <v>JW-T0263-240524-2078</v>
      </c>
      <c r="K13" s="1" t="str">
        <f>IFERROR(__xludf.DUMMYFUNCTION("""COMPUTED_VALUE"""),"RO2Z YT7446735 0693407")</f>
        <v>RO2Z YT7446735 0693407</v>
      </c>
      <c r="L13" s="2">
        <f>IFERROR(__xludf.DUMMYFUNCTION("""COMPUTED_VALUE"""),45436)</f>
        <v>45436</v>
      </c>
      <c r="M13" s="1" t="str">
        <f>IFERROR(__xludf.DUMMYFUNCTION("""COMPUTED_VALUE"""),"Asia Direct Warehouse")</f>
        <v>Asia Direct Warehouse</v>
      </c>
      <c r="N13" s="1" t="str">
        <f>IFERROR(__xludf.DUMMYFUNCTION("""COMPUTED_VALUE"""),"Box")</f>
        <v>Box</v>
      </c>
      <c r="O13" s="3">
        <f>IFERROR(__xludf.DUMMYFUNCTION("""COMPUTED_VALUE"""),1)</f>
        <v>1</v>
      </c>
      <c r="P13" s="4">
        <f>IFERROR(__xludf.DUMMYFUNCTION("""COMPUTED_VALUE"""),0.04)</f>
        <v>0.04</v>
      </c>
      <c r="Q13" s="4">
        <f>IFERROR(__xludf.DUMMYFUNCTION("""COMPUTED_VALUE"""),3)</f>
        <v>3</v>
      </c>
      <c r="R13" s="1"/>
      <c r="S13" s="1"/>
      <c r="T13" s="1" t="str">
        <f>IFERROR(__xludf.DUMMYFUNCTION("""COMPUTED_VALUE"""),"Any nearest port")</f>
        <v>Any nearest port</v>
      </c>
      <c r="U13" s="1" t="str">
        <f>IFERROR(__xludf.DUMMYFUNCTION("""COMPUTED_VALUE"""),"Melville Johannesburg")</f>
        <v>Melville Johannesburg</v>
      </c>
      <c r="V13" s="2">
        <f>IFERROR(__xludf.DUMMYFUNCTION("""COMPUTED_VALUE"""),45440)</f>
        <v>45440</v>
      </c>
      <c r="W13" s="1"/>
      <c r="X13" s="1">
        <f>IFERROR(__xludf.DUMMYFUNCTION("""COMPUTED_VALUE"""),14.3)</f>
        <v>14.3</v>
      </c>
      <c r="Y13" s="1"/>
      <c r="Z13" s="1"/>
      <c r="AA13" s="5" t="str">
        <f t="shared" si="1"/>
        <v>ADSWB2405033/704</v>
      </c>
      <c r="AB13" s="5" t="s">
        <v>1</v>
      </c>
    </row>
    <row r="14" customHeight="1" spans="1:28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5" t="str">
        <f t="shared" si="1"/>
        <v/>
      </c>
      <c r="AB14" s="5" t="s">
        <v>1</v>
      </c>
    </row>
    <row r="15" customHeight="1" spans="1:28">
      <c r="A15" s="1">
        <f>IFERROR(__xludf.DUMMYFUNCTION("""COMPUTED_VALUE"""),718)</f>
        <v>718</v>
      </c>
      <c r="B15" s="2">
        <f>IFERROR(__xludf.DUMMYFUNCTION("""COMPUTED_VALUE"""),45448)</f>
        <v>45448</v>
      </c>
      <c r="C15" s="1" t="str">
        <f>IFERROR(__xludf.DUMMYFUNCTION("""COMPUTED_VALUE"""),"Université Nouveaux Horizons (UNH)")</f>
        <v>Université Nouveaux Horizons (UNH)</v>
      </c>
      <c r="D15" s="1"/>
      <c r="E15" s="1" t="str">
        <f>IFERROR(__xludf.DUMMYFUNCTION("""COMPUTED_VALUE"""),"Electrocardiograph, Fetal Monitor, Trolly for ECG1200G, and Trolly for CMS800G")</f>
        <v>Electrocardiograph, Fetal Monitor, Trolly for ECG1200G, and Trolly for CMS800G</v>
      </c>
      <c r="F15" s="1" t="str">
        <f>IFERROR(__xludf.DUMMYFUNCTION("""COMPUTED_VALUE"""),"No")</f>
        <v>No</v>
      </c>
      <c r="G15" s="1" t="str">
        <f>IFERROR(__xludf.DUMMYFUNCTION("""COMPUTED_VALUE"""),"Air")</f>
        <v>Air</v>
      </c>
      <c r="H15" s="1" t="str">
        <f>IFERROR(__xludf.DUMMYFUNCTION("""COMPUTED_VALUE"""),"ADAWB2406033")</f>
        <v>ADAWB2406033</v>
      </c>
      <c r="I15" s="1"/>
      <c r="J15" s="1" t="str">
        <f>IFERROR(__xludf.DUMMYFUNCTION("""COMPUTED_VALUE"""),"JWT0263681390")</f>
        <v>JWT0263681390</v>
      </c>
      <c r="K15" s="1" t="str">
        <f>IFERROR(__xludf.DUMMYFUNCTION("""COMPUTED_VALUE"""),"703 8007 7670")</f>
        <v>703 8007 7670</v>
      </c>
      <c r="L15" s="2">
        <f>IFERROR(__xludf.DUMMYFUNCTION("""COMPUTED_VALUE"""),45454)</f>
        <v>45454</v>
      </c>
      <c r="M15" s="1" t="str">
        <f>IFERROR(__xludf.DUMMYFUNCTION("""COMPUTED_VALUE"""),"CONTEC MEDICAL SYSTEMS CO.,LTD")</f>
        <v>CONTEC MEDICAL SYSTEMS CO.,LTD</v>
      </c>
      <c r="N15" s="1" t="str">
        <f>IFERROR(__xludf.DUMMYFUNCTION("""COMPUTED_VALUE"""),"Box")</f>
        <v>Box</v>
      </c>
      <c r="O15" s="3">
        <f>IFERROR(__xludf.DUMMYFUNCTION("""COMPUTED_VALUE"""),5)</f>
        <v>5</v>
      </c>
      <c r="P15" s="4">
        <f>IFERROR(__xludf.DUMMYFUNCTION("""COMPUTED_VALUE"""),0.43)</f>
        <v>0.43</v>
      </c>
      <c r="Q15" s="4">
        <f>IFERROR(__xludf.DUMMYFUNCTION("""COMPUTED_VALUE"""),40)</f>
        <v>40</v>
      </c>
      <c r="R15" s="1"/>
      <c r="S15" s="1"/>
      <c r="T15" s="1" t="str">
        <f>IFERROR(__xludf.DUMMYFUNCTION("""COMPUTED_VALUE"""),"Any nearest port")</f>
        <v>Any nearest port</v>
      </c>
      <c r="U15" s="1" t="str">
        <f>IFERROR(__xludf.DUMMYFUNCTION("""COMPUTED_VALUE"""),"Lubumbashi, DRC")</f>
        <v>Lubumbashi, DRC</v>
      </c>
      <c r="V15" s="2">
        <f>IFERROR(__xludf.DUMMYFUNCTION("""COMPUTED_VALUE"""),45452)</f>
        <v>45452</v>
      </c>
      <c r="W15" s="1"/>
      <c r="X15" s="1"/>
      <c r="Y15" s="1"/>
      <c r="Z15" s="1"/>
      <c r="AA15" s="5" t="str">
        <f t="shared" si="1"/>
        <v>ADAWB2406033/718</v>
      </c>
      <c r="AB15" s="5" t="s">
        <v>1</v>
      </c>
    </row>
    <row r="16" customHeight="1" spans="1:28">
      <c r="A16" s="1">
        <f>IFERROR(__xludf.DUMMYFUNCTION("""COMPUTED_VALUE"""),686)</f>
        <v>686</v>
      </c>
      <c r="B16" s="2">
        <f>IFERROR(__xludf.DUMMYFUNCTION("""COMPUTED_VALUE"""),45433)</f>
        <v>45433</v>
      </c>
      <c r="C16" s="1" t="str">
        <f>IFERROR(__xludf.DUMMYFUNCTION("""COMPUTED_VALUE"""),"Imran Khalid")</f>
        <v>Imran Khalid</v>
      </c>
      <c r="D16" s="1"/>
      <c r="E16" s="1" t="str">
        <f>IFERROR(__xludf.DUMMYFUNCTION("""COMPUTED_VALUE"""),"Machine")</f>
        <v>Machine</v>
      </c>
      <c r="F16" s="1" t="str">
        <f>IFERROR(__xludf.DUMMYFUNCTION("""COMPUTED_VALUE"""),"No")</f>
        <v>No</v>
      </c>
      <c r="G16" s="1" t="str">
        <f>IFERROR(__xludf.DUMMYFUNCTION("""COMPUTED_VALUE"""),"Sea")</f>
        <v>Sea</v>
      </c>
      <c r="H16" s="1" t="str">
        <f>IFERROR(__xludf.DUMMYFUNCTION("""COMPUTED_VALUE"""),"ADSWB2405033")</f>
        <v>ADSWB2405033</v>
      </c>
      <c r="I16" s="1" t="str">
        <f>IFERROR(__xludf.DUMMYFUNCTION("""COMPUTED_VALUE"""),"Our Warehouse")</f>
        <v>Our Warehouse</v>
      </c>
      <c r="J16" s="1"/>
      <c r="K16" s="1"/>
      <c r="L16" s="2">
        <f>IFERROR(__xludf.DUMMYFUNCTION("""COMPUTED_VALUE"""),45456)</f>
        <v>45456</v>
      </c>
      <c r="M16" s="1" t="str">
        <f>IFERROR(__xludf.DUMMYFUNCTION("""COMPUTED_VALUE"""),"Yingli Town, Jinzhou City, Hebei Province")</f>
        <v>Yingli Town, Jinzhou City, Hebei Province</v>
      </c>
      <c r="N16" s="1" t="str">
        <f>IFERROR(__xludf.DUMMYFUNCTION("""COMPUTED_VALUE"""),"Pallet")</f>
        <v>Pallet</v>
      </c>
      <c r="O16" s="3">
        <f>IFERROR(__xludf.DUMMYFUNCTION("""COMPUTED_VALUE"""),2)</f>
        <v>2</v>
      </c>
      <c r="P16" s="4">
        <f>IFERROR(__xludf.DUMMYFUNCTION("""COMPUTED_VALUE"""),4.86)</f>
        <v>4.86</v>
      </c>
      <c r="Q16" s="4">
        <f>IFERROR(__xludf.DUMMYFUNCTION("""COMPUTED_VALUE"""),1156)</f>
        <v>1156</v>
      </c>
      <c r="R16" s="1"/>
      <c r="S16" s="1"/>
      <c r="T16" s="1" t="str">
        <f>IFERROR(__xludf.DUMMYFUNCTION("""COMPUTED_VALUE"""),"Any nearest port")</f>
        <v>Any nearest port</v>
      </c>
      <c r="U16" s="1" t="str">
        <f>IFERROR(__xludf.DUMMYFUNCTION("""COMPUTED_VALUE"""),"Northen Cape")</f>
        <v>Northen Cape</v>
      </c>
      <c r="V16" s="2">
        <f>IFERROR(__xludf.DUMMYFUNCTION("""COMPUTED_VALUE"""),45451)</f>
        <v>45451</v>
      </c>
      <c r="W16" s="1"/>
      <c r="X16" s="1"/>
      <c r="Y16" s="1"/>
      <c r="Z16" s="1"/>
      <c r="AA16" s="5" t="str">
        <f t="shared" si="1"/>
        <v>ADSWB2405033/686</v>
      </c>
      <c r="AB16" s="5" t="s">
        <v>1</v>
      </c>
    </row>
    <row r="17" customHeight="1" spans="1:2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5" t="str">
        <f t="shared" si="1"/>
        <v/>
      </c>
      <c r="AB17" s="5" t="s">
        <v>1</v>
      </c>
    </row>
    <row r="18" customHeight="1" spans="1:28">
      <c r="A18" s="1">
        <f>IFERROR(__xludf.DUMMYFUNCTION("""COMPUTED_VALUE"""),728)</f>
        <v>728</v>
      </c>
      <c r="B18" s="2">
        <f>IFERROR(__xludf.DUMMYFUNCTION("""COMPUTED_VALUE"""),45450)</f>
        <v>45450</v>
      </c>
      <c r="C18" s="1" t="str">
        <f>IFERROR(__xludf.DUMMYFUNCTION("""COMPUTED_VALUE"""),"Alina Mothethi")</f>
        <v>Alina Mothethi</v>
      </c>
      <c r="D18" s="1"/>
      <c r="E18" s="1" t="str">
        <f>IFERROR(__xludf.DUMMYFUNCTION("""COMPUTED_VALUE"""),"Gas Stove")</f>
        <v>Gas Stove</v>
      </c>
      <c r="F18" s="1" t="str">
        <f>IFERROR(__xludf.DUMMYFUNCTION("""COMPUTED_VALUE"""),"No")</f>
        <v>No</v>
      </c>
      <c r="G18" s="1" t="str">
        <f>IFERROR(__xludf.DUMMYFUNCTION("""COMPUTED_VALUE"""),"Sea")</f>
        <v>Sea</v>
      </c>
      <c r="H18" s="1" t="str">
        <f>IFERROR(__xludf.DUMMYFUNCTION("""COMPUTED_VALUE"""),"ADSWB2405033")</f>
        <v>ADSWB2405033</v>
      </c>
      <c r="I18" s="1"/>
      <c r="J18" s="1" t="str">
        <f>IFERROR(__xludf.DUMMYFUNCTION("""COMPUTED_VALUE"""),"JWT0263557041")</f>
        <v>JWT0263557041</v>
      </c>
      <c r="K18" s="1" t="str">
        <f>IFERROR(__xludf.DUMMYFUNCTION("""COMPUTED_VALUE"""),"SF 144998860 4940")</f>
        <v>SF 144998860 4940</v>
      </c>
      <c r="L18" s="2">
        <f>IFERROR(__xludf.DUMMYFUNCTION("""COMPUTED_VALUE"""),45454)</f>
        <v>45454</v>
      </c>
      <c r="M18" s="1" t="str">
        <f>IFERROR(__xludf.DUMMYFUNCTION("""COMPUTED_VALUE"""),"Our warehouse")</f>
        <v>Our warehouse</v>
      </c>
      <c r="N18" s="1" t="str">
        <f>IFERROR(__xludf.DUMMYFUNCTION("""COMPUTED_VALUE"""),"Box")</f>
        <v>Box</v>
      </c>
      <c r="O18" s="3">
        <f>IFERROR(__xludf.DUMMYFUNCTION("""COMPUTED_VALUE"""),1)</f>
        <v>1</v>
      </c>
      <c r="P18" s="4">
        <f>IFERROR(__xludf.DUMMYFUNCTION("""COMPUTED_VALUE"""),0.53)</f>
        <v>0.53</v>
      </c>
      <c r="Q18" s="4">
        <f>IFERROR(__xludf.DUMMYFUNCTION("""COMPUTED_VALUE"""),69)</f>
        <v>69</v>
      </c>
      <c r="R18" s="1" t="b">
        <f>IFERROR(__xludf.DUMMYFUNCTION("""COMPUTED_VALUE"""),FALSE)</f>
        <v>0</v>
      </c>
      <c r="S18" s="1"/>
      <c r="T18" s="1"/>
      <c r="U18" s="1" t="str">
        <f>IFERROR(__xludf.DUMMYFUNCTION("""COMPUTED_VALUE"""),"7399 Mandela road extension 14 Bophelong 1911 Vanderbijlpark (Johannesburg)")</f>
        <v>7399 Mandela road extension 14 Bophelong 1911 Vanderbijlpark (Johannesburg)</v>
      </c>
      <c r="V18" s="2">
        <f>IFERROR(__xludf.DUMMYFUNCTION("""COMPUTED_VALUE"""),45454)</f>
        <v>45454</v>
      </c>
      <c r="W18" s="1"/>
      <c r="X18" s="1"/>
      <c r="Y18" s="1"/>
      <c r="Z18" s="1"/>
      <c r="AA18" s="5" t="str">
        <f t="shared" si="1"/>
        <v>ADSWB2405033/728</v>
      </c>
      <c r="AB18" s="5" t="s">
        <v>1</v>
      </c>
    </row>
    <row r="19" customHeight="1" spans="1:2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5" t="str">
        <f t="shared" si="1"/>
        <v/>
      </c>
      <c r="AB19" s="5" t="s">
        <v>1</v>
      </c>
    </row>
    <row r="20" customHeight="1" spans="1:28">
      <c r="A20" s="1">
        <f>IFERROR(__xludf.DUMMYFUNCTION("""COMPUTED_VALUE"""),714)</f>
        <v>714</v>
      </c>
      <c r="B20" s="2">
        <f>IFERROR(__xludf.DUMMYFUNCTION("""COMPUTED_VALUE"""),45446)</f>
        <v>45446</v>
      </c>
      <c r="C20" s="1" t="str">
        <f>IFERROR(__xludf.DUMMYFUNCTION("""COMPUTED_VALUE"""),"Irvin")</f>
        <v>Irvin</v>
      </c>
      <c r="D20" s="1"/>
      <c r="E20" s="1" t="str">
        <f>IFERROR(__xludf.DUMMYFUNCTION("""COMPUTED_VALUE"""),"Blankets")</f>
        <v>Blankets</v>
      </c>
      <c r="F20" s="1" t="str">
        <f>IFERROR(__xludf.DUMMYFUNCTION("""COMPUTED_VALUE"""),"No")</f>
        <v>No</v>
      </c>
      <c r="G20" s="1" t="str">
        <f>IFERROR(__xludf.DUMMYFUNCTION("""COMPUTED_VALUE"""),"Air")</f>
        <v>Air</v>
      </c>
      <c r="H20" s="1" t="str">
        <f>IFERROR(__xludf.DUMMYFUNCTION("""COMPUTED_VALUE"""),"ADAWB2405034")</f>
        <v>ADAWB2405034</v>
      </c>
      <c r="I20" s="1" t="str">
        <f>IFERROR(__xludf.DUMMYFUNCTION("""COMPUTED_VALUE"""),"Our Warehouse")</f>
        <v>Our Warehouse</v>
      </c>
      <c r="J20" s="1" t="str">
        <f>IFERROR(__xludf.DUMMYFUNCTION("""COMPUTED_VALUE"""),"JWT0263115031")</f>
        <v>JWT0263115031</v>
      </c>
      <c r="K20" s="1" t="str">
        <f>IFERROR(__xludf.DUMMYFUNCTION("""COMPUTED_VALUE"""),"433942401102633")</f>
        <v>433942401102633</v>
      </c>
      <c r="L20" s="2">
        <f>IFERROR(__xludf.DUMMYFUNCTION("""COMPUTED_VALUE"""),45450)</f>
        <v>45450</v>
      </c>
      <c r="M20" s="1" t="str">
        <f>IFERROR(__xludf.DUMMYFUNCTION("""COMPUTED_VALUE"""),"Our warehouse")</f>
        <v>Our warehouse</v>
      </c>
      <c r="N20" s="1" t="str">
        <f>IFERROR(__xludf.DUMMYFUNCTION("""COMPUTED_VALUE"""),"Bag")</f>
        <v>Bag</v>
      </c>
      <c r="O20" s="3">
        <f>IFERROR(__xludf.DUMMYFUNCTION("""COMPUTED_VALUE"""),1)</f>
        <v>1</v>
      </c>
      <c r="P20" s="4">
        <f>IFERROR(__xludf.DUMMYFUNCTION("""COMPUTED_VALUE"""),0.05)</f>
        <v>0.05</v>
      </c>
      <c r="Q20" s="4">
        <f>IFERROR(__xludf.DUMMYFUNCTION("""COMPUTED_VALUE"""),8.5)</f>
        <v>8.5</v>
      </c>
      <c r="R20" s="1" t="b">
        <f>IFERROR(__xludf.DUMMYFUNCTION("""COMPUTED_VALUE"""),FALSE)</f>
        <v>0</v>
      </c>
      <c r="S20" s="1">
        <f>IFERROR(__xludf.DUMMYFUNCTION("""COMPUTED_VALUE"""),4.5)</f>
        <v>4.5</v>
      </c>
      <c r="T20" s="1" t="str">
        <f>IFERROR(__xludf.DUMMYFUNCTION("""COMPUTED_VALUE"""),"Any Nearest Port")</f>
        <v>Any Nearest Port</v>
      </c>
      <c r="U20" s="1" t="str">
        <f>IFERROR(__xludf.DUMMYFUNCTION("""COMPUTED_VALUE"""),"Capetown")</f>
        <v>Capetown</v>
      </c>
      <c r="V20" s="2">
        <f>IFERROR(__xludf.DUMMYFUNCTION("""COMPUTED_VALUE"""),45469)</f>
        <v>45469</v>
      </c>
      <c r="W20" s="1" t="b">
        <f>IFERROR(__xludf.DUMMYFUNCTION("""COMPUTED_VALUE"""),TRUE)</f>
        <v>1</v>
      </c>
      <c r="X20" s="1"/>
      <c r="Y20" s="1">
        <f>IFERROR(__xludf.DUMMYFUNCTION("""COMPUTED_VALUE"""),1.7)</f>
        <v>1.7</v>
      </c>
      <c r="Z20" s="1"/>
      <c r="AA20" s="5" t="str">
        <f t="shared" si="1"/>
        <v>ADAWB2405034/714</v>
      </c>
      <c r="AB20" s="5" t="s">
        <v>1</v>
      </c>
    </row>
    <row r="21" customHeight="1" spans="1:28">
      <c r="A21" s="1">
        <f>IFERROR(__xludf.DUMMYFUNCTION("""COMPUTED_VALUE"""),712)</f>
        <v>712</v>
      </c>
      <c r="B21" s="2">
        <f>IFERROR(__xludf.DUMMYFUNCTION("""COMPUTED_VALUE"""),45446)</f>
        <v>45446</v>
      </c>
      <c r="C21" s="1" t="str">
        <f>IFERROR(__xludf.DUMMYFUNCTION("""COMPUTED_VALUE"""),"GW Industries Group")</f>
        <v>GW Industries Group</v>
      </c>
      <c r="D21" s="1"/>
      <c r="E21" s="1" t="str">
        <f>IFERROR(__xludf.DUMMYFUNCTION("""COMPUTED_VALUE"""),"DC brushless motors")</f>
        <v>DC brushless motors</v>
      </c>
      <c r="F21" s="1" t="str">
        <f>IFERROR(__xludf.DUMMYFUNCTION("""COMPUTED_VALUE"""),"NO")</f>
        <v>NO</v>
      </c>
      <c r="G21" s="1" t="str">
        <f>IFERROR(__xludf.DUMMYFUNCTION("""COMPUTED_VALUE"""),"Sea")</f>
        <v>Sea</v>
      </c>
      <c r="H21" s="1" t="str">
        <f>IFERROR(__xludf.DUMMYFUNCTION("""COMPUTED_VALUE"""),"ADSWB2405033")</f>
        <v>ADSWB2405033</v>
      </c>
      <c r="I21" s="1"/>
      <c r="J21" s="1" t="str">
        <f>IFERROR(__xludf.DUMMYFUNCTION("""COMPUTED_VALUE"""),"JWT0263438818")</f>
        <v>JWT0263438818</v>
      </c>
      <c r="K21" s="1" t="str">
        <f>IFERROR(__xludf.DUMMYFUNCTION("""COMPUTED_VALUE"""),"SF 1449988604940")</f>
        <v>SF 1449988604940</v>
      </c>
      <c r="L21" s="2">
        <f>IFERROR(__xludf.DUMMYFUNCTION("""COMPUTED_VALUE"""),45450)</f>
        <v>45450</v>
      </c>
      <c r="M21" s="1" t="str">
        <f>IFERROR(__xludf.DUMMYFUNCTION("""COMPUTED_VALUE"""),"Dachen Town, 32000, Xhejiang , China")</f>
        <v>Dachen Town, 32000, Xhejiang , China</v>
      </c>
      <c r="N21" s="1" t="str">
        <f>IFERROR(__xludf.DUMMYFUNCTION("""COMPUTED_VALUE"""),"Box")</f>
        <v>Box</v>
      </c>
      <c r="O21" s="3">
        <f>IFERROR(__xludf.DUMMYFUNCTION("""COMPUTED_VALUE"""),2)</f>
        <v>2</v>
      </c>
      <c r="P21" s="4">
        <f>IFERROR(__xludf.DUMMYFUNCTION("""COMPUTED_VALUE"""),0.05)</f>
        <v>0.05</v>
      </c>
      <c r="Q21" s="4">
        <f>IFERROR(__xludf.DUMMYFUNCTION("""COMPUTED_VALUE"""),27.5)</f>
        <v>27.5</v>
      </c>
      <c r="R21" s="1"/>
      <c r="S21" s="1"/>
      <c r="T21" s="1" t="str">
        <f>IFERROR(__xludf.DUMMYFUNCTION("""COMPUTED_VALUE"""),"Any nearest port")</f>
        <v>Any nearest port</v>
      </c>
      <c r="U21" s="1" t="str">
        <f>IFERROR(__xludf.DUMMYFUNCTION("""COMPUTED_VALUE"""),"Montague Gardens Cape Town, South Africa.")</f>
        <v>Montague Gardens Cape Town, South Africa.</v>
      </c>
      <c r="V21" s="2">
        <f>IFERROR(__xludf.DUMMYFUNCTION("""COMPUTED_VALUE"""),45454)</f>
        <v>45454</v>
      </c>
      <c r="W21" s="1"/>
      <c r="X21" s="1"/>
      <c r="Y21" s="1"/>
      <c r="Z21" s="1"/>
      <c r="AA21" s="5" t="str">
        <f t="shared" si="1"/>
        <v>ADSWB2405033/712</v>
      </c>
      <c r="AB21" s="5" t="s">
        <v>1</v>
      </c>
    </row>
    <row r="22" customHeight="1" spans="1:28">
      <c r="A22" s="1">
        <f>IFERROR(__xludf.DUMMYFUNCTION("""COMPUTED_VALUE"""),721)</f>
        <v>721</v>
      </c>
      <c r="B22" s="2">
        <f>IFERROR(__xludf.DUMMYFUNCTION("""COMPUTED_VALUE"""),45449)</f>
        <v>45449</v>
      </c>
      <c r="C22" s="1" t="str">
        <f>IFERROR(__xludf.DUMMYFUNCTION("""COMPUTED_VALUE"""),"Shand Sermela")</f>
        <v>Shand Sermela</v>
      </c>
      <c r="D22" s="1"/>
      <c r="E22" s="1" t="str">
        <f>IFERROR(__xludf.DUMMYFUNCTION("""COMPUTED_VALUE"""),"circuit breaker")</f>
        <v>circuit breaker</v>
      </c>
      <c r="F22" s="1" t="str">
        <f>IFERROR(__xludf.DUMMYFUNCTION("""COMPUTED_VALUE"""),"no")</f>
        <v>no</v>
      </c>
      <c r="G22" s="1" t="str">
        <f>IFERROR(__xludf.DUMMYFUNCTION("""COMPUTED_VALUE"""),"Air")</f>
        <v>Air</v>
      </c>
      <c r="H22" s="1" t="str">
        <f>IFERROR(__xludf.DUMMYFUNCTION("""COMPUTED_VALUE"""),"ADSWB2405033")</f>
        <v>ADSWB2405033</v>
      </c>
      <c r="I22" s="1"/>
      <c r="J22" s="1"/>
      <c r="K22" s="1" t="str">
        <f>IFERROR(__xludf.DUMMYFUNCTION("""COMPUTED_VALUE"""),"3115692215870")</f>
        <v>3115692215870</v>
      </c>
      <c r="L22" s="2">
        <f>IFERROR(__xludf.DUMMYFUNCTION("""COMPUTED_VALUE"""),45454)</f>
        <v>45454</v>
      </c>
      <c r="M22" s="1" t="str">
        <f>IFERROR(__xludf.DUMMYFUNCTION("""COMPUTED_VALUE"""),"Our warehouse")</f>
        <v>Our warehouse</v>
      </c>
      <c r="N22" s="1" t="str">
        <f>IFERROR(__xludf.DUMMYFUNCTION("""COMPUTED_VALUE"""),"Box")</f>
        <v>Box</v>
      </c>
      <c r="O22" s="3">
        <f>IFERROR(__xludf.DUMMYFUNCTION("""COMPUTED_VALUE"""),1)</f>
        <v>1</v>
      </c>
      <c r="P22" s="4">
        <f>IFERROR(__xludf.DUMMYFUNCTION("""COMPUTED_VALUE"""),0.01)</f>
        <v>0.01</v>
      </c>
      <c r="Q22" s="4">
        <f>IFERROR(__xludf.DUMMYFUNCTION("""COMPUTED_VALUE"""),1)</f>
        <v>1</v>
      </c>
      <c r="R22" s="1" t="b">
        <f>IFERROR(__xludf.DUMMYFUNCTION("""COMPUTED_VALUE"""),FALSE)</f>
        <v>0</v>
      </c>
      <c r="S22" s="1"/>
      <c r="T22" s="1" t="str">
        <f>IFERROR(__xludf.DUMMYFUNCTION("""COMPUTED_VALUE"""),"Any nearest port")</f>
        <v>Any nearest port</v>
      </c>
      <c r="U22" s="1" t="str">
        <f>IFERROR(__xludf.DUMMYFUNCTION("""COMPUTED_VALUE"""),"Roodeport")</f>
        <v>Roodeport</v>
      </c>
      <c r="V22" s="2">
        <f>IFERROR(__xludf.DUMMYFUNCTION("""COMPUTED_VALUE"""),45454)</f>
        <v>45454</v>
      </c>
      <c r="W22" s="1" t="b">
        <f>IFERROR(__xludf.DUMMYFUNCTION("""COMPUTED_VALUE"""),FALSE)</f>
        <v>0</v>
      </c>
      <c r="X22" s="1"/>
      <c r="Y22" s="1"/>
      <c r="Z22" s="1"/>
      <c r="AA22" s="5" t="str">
        <f t="shared" si="1"/>
        <v>ADSWB2405033/721</v>
      </c>
      <c r="AB22" s="5" t="s">
        <v>1</v>
      </c>
    </row>
    <row r="23" customHeight="1" spans="1:28">
      <c r="A23" s="1">
        <f>IFERROR(__xludf.DUMMYFUNCTION("""COMPUTED_VALUE"""),627)</f>
        <v>627</v>
      </c>
      <c r="B23" s="2">
        <f>IFERROR(__xludf.DUMMYFUNCTION("""COMPUTED_VALUE"""),45404)</f>
        <v>45404</v>
      </c>
      <c r="C23" s="1" t="str">
        <f>IFERROR(__xludf.DUMMYFUNCTION("""COMPUTED_VALUE"""),"Maite Shatele")</f>
        <v>Maite Shatele</v>
      </c>
      <c r="D23" s="1"/>
      <c r="E23" s="1" t="str">
        <f>IFERROR(__xludf.DUMMYFUNCTION("""COMPUTED_VALUE"""),"Peanut Roasting Machine")</f>
        <v>Peanut Roasting Machine</v>
      </c>
      <c r="F23" s="1" t="str">
        <f>IFERROR(__xludf.DUMMYFUNCTION("""COMPUTED_VALUE"""),"No")</f>
        <v>No</v>
      </c>
      <c r="G23" s="1" t="str">
        <f>IFERROR(__xludf.DUMMYFUNCTION("""COMPUTED_VALUE"""),"Sea")</f>
        <v>Sea</v>
      </c>
      <c r="H23" s="1" t="str">
        <f>IFERROR(__xludf.DUMMYFUNCTION("""COMPUTED_VALUE"""),"ADSWB2405033")</f>
        <v>ADSWB2405033</v>
      </c>
      <c r="I23" s="1"/>
      <c r="J23" s="1" t="str">
        <f>IFERROR(__xludf.DUMMYFUNCTION("""COMPUTED_VALUE"""),"JWT0263941879")</f>
        <v>JWT0263941879</v>
      </c>
      <c r="K23" s="1" t="str">
        <f>IFERROR(__xludf.DUMMYFUNCTION("""COMPUTED_VALUE"""),"81368329254")</f>
        <v>81368329254</v>
      </c>
      <c r="L23" s="2">
        <f>IFERROR(__xludf.DUMMYFUNCTION("""COMPUTED_VALUE"""),45454)</f>
        <v>45454</v>
      </c>
      <c r="M23" s="1" t="str">
        <f>IFERROR(__xludf.DUMMYFUNCTION("""COMPUTED_VALUE"""),"Asia Direct Warehouse, Guangzhou")</f>
        <v>Asia Direct Warehouse, Guangzhou</v>
      </c>
      <c r="N23" s="1" t="str">
        <f>IFERROR(__xludf.DUMMYFUNCTION("""COMPUTED_VALUE"""),"Box")</f>
        <v>Box</v>
      </c>
      <c r="O23" s="3">
        <f>IFERROR(__xludf.DUMMYFUNCTION("""COMPUTED_VALUE"""),1)</f>
        <v>1</v>
      </c>
      <c r="P23" s="4">
        <f>IFERROR(__xludf.DUMMYFUNCTION("""COMPUTED_VALUE"""),0.57)</f>
        <v>0.57</v>
      </c>
      <c r="Q23" s="4">
        <f>IFERROR(__xludf.DUMMYFUNCTION("""COMPUTED_VALUE"""),82)</f>
        <v>82</v>
      </c>
      <c r="R23" s="1" t="b">
        <f>IFERROR(__xludf.DUMMYFUNCTION("""COMPUTED_VALUE"""),FALSE)</f>
        <v>0</v>
      </c>
      <c r="S23" s="1"/>
      <c r="T23" s="1" t="str">
        <f>IFERROR(__xludf.DUMMYFUNCTION("""COMPUTED_VALUE"""),"Any Nearest Port")</f>
        <v>Any Nearest Port</v>
      </c>
      <c r="U23" s="1" t="str">
        <f>IFERROR(__xludf.DUMMYFUNCTION("""COMPUTED_VALUE"""),"Asia Direct, Glen Marais, Kempton Park")</f>
        <v>Asia Direct, Glen Marais, Kempton Park</v>
      </c>
      <c r="V23" s="2">
        <f>IFERROR(__xludf.DUMMYFUNCTION("""COMPUTED_VALUE"""),45454)</f>
        <v>45454</v>
      </c>
      <c r="W23" s="1"/>
      <c r="X23" s="1"/>
      <c r="Y23" s="1"/>
      <c r="Z23" s="1"/>
      <c r="AA23" s="5" t="str">
        <f t="shared" si="1"/>
        <v>ADSWB2405033/627</v>
      </c>
      <c r="AB23" s="5" t="s">
        <v>1</v>
      </c>
    </row>
    <row r="24" customHeight="1" spans="1:28">
      <c r="A24" s="1">
        <f>IFERROR(__xludf.DUMMYFUNCTION("""COMPUTED_VALUE"""),735)</f>
        <v>735</v>
      </c>
      <c r="B24" s="2">
        <f>IFERROR(__xludf.DUMMYFUNCTION("""COMPUTED_VALUE"""),45456)</f>
        <v>45456</v>
      </c>
      <c r="C24" s="1" t="str">
        <f>IFERROR(__xludf.DUMMYFUNCTION("""COMPUTED_VALUE"""),"Additive Manufacturing Solutions")</f>
        <v>Additive Manufacturing Solutions</v>
      </c>
      <c r="D24" s="1"/>
      <c r="E24" s="1" t="str">
        <f>IFERROR(__xludf.DUMMYFUNCTION("""COMPUTED_VALUE"""),"Eryone Matte")</f>
        <v>Eryone Matte</v>
      </c>
      <c r="F24" s="1" t="str">
        <f>IFERROR(__xludf.DUMMYFUNCTION("""COMPUTED_VALUE"""),"No")</f>
        <v>No</v>
      </c>
      <c r="G24" s="1" t="str">
        <f>IFERROR(__xludf.DUMMYFUNCTION("""COMPUTED_VALUE"""),"Sea")</f>
        <v>Sea</v>
      </c>
      <c r="H24" s="1" t="str">
        <f>IFERROR(__xludf.DUMMYFUNCTION("""COMPUTED_VALUE"""),"ADSWB2405033")</f>
        <v>ADSWB2405033</v>
      </c>
      <c r="I24" s="1" t="str">
        <f>IFERROR(__xludf.DUMMYFUNCTION("""COMPUTED_VALUE"""),"Asia Direct warehouse")</f>
        <v>Asia Direct warehouse</v>
      </c>
      <c r="J24" s="1" t="str">
        <f>IFERROR(__xludf.DUMMYFUNCTION("""COMPUTED_VALUE"""),"JWT0263896599 and JWT0263537546")</f>
        <v>JWT0263896599 and JWT0263537546</v>
      </c>
      <c r="K24" s="1" t="str">
        <f>IFERROR(__xludf.DUMMYFUNCTION("""COMPUTED_VALUE"""),"9012164887280005  &amp;  901172100954")</f>
        <v>9012164887280005  &amp;  901172100954</v>
      </c>
      <c r="L24" s="2">
        <f>IFERROR(__xludf.DUMMYFUNCTION("""COMPUTED_VALUE"""),45456)</f>
        <v>45456</v>
      </c>
      <c r="M24" s="1" t="str">
        <f>IFERROR(__xludf.DUMMYFUNCTION("""COMPUTED_VALUE"""),"Our warehouse")</f>
        <v>Our warehouse</v>
      </c>
      <c r="N24" s="1" t="str">
        <f>IFERROR(__xludf.DUMMYFUNCTION("""COMPUTED_VALUE"""),"Box")</f>
        <v>Box</v>
      </c>
      <c r="O24" s="3">
        <f>IFERROR(__xludf.DUMMYFUNCTION("""COMPUTED_VALUE"""),24)</f>
        <v>24</v>
      </c>
      <c r="P24" s="4">
        <f>IFERROR(__xludf.DUMMYFUNCTION("""COMPUTED_VALUE"""),1.33)</f>
        <v>1.33</v>
      </c>
      <c r="Q24" s="4">
        <f>IFERROR(__xludf.DUMMYFUNCTION("""COMPUTED_VALUE"""),389.5)</f>
        <v>389.5</v>
      </c>
      <c r="R24" s="1"/>
      <c r="S24" s="1"/>
      <c r="T24" s="1" t="str">
        <f>IFERROR(__xludf.DUMMYFUNCTION("""COMPUTED_VALUE"""),"Everyone Technology (HK) Limited")</f>
        <v>Everyone Technology (HK) Limited</v>
      </c>
      <c r="U24" s="1" t="str">
        <f>IFERROR(__xludf.DUMMYFUNCTION("""COMPUTED_VALUE"""),"Centurion")</f>
        <v>Centurion</v>
      </c>
      <c r="V24" s="2">
        <f>IFERROR(__xludf.DUMMYFUNCTION("""COMPUTED_VALUE"""),45456)</f>
        <v>45456</v>
      </c>
      <c r="W24" s="1"/>
      <c r="X24" s="1"/>
      <c r="Y24" s="1"/>
      <c r="Z24" s="1"/>
      <c r="AA24" s="5" t="str">
        <f t="shared" si="1"/>
        <v>ADSWB2405033/735</v>
      </c>
      <c r="AB24" s="5" t="s">
        <v>1</v>
      </c>
    </row>
    <row r="25" customHeight="1" spans="1:28">
      <c r="A25" s="1">
        <f>IFERROR(__xludf.DUMMYFUNCTION("""COMPUTED_VALUE"""),736)</f>
        <v>736</v>
      </c>
      <c r="B25" s="2">
        <f>IFERROR(__xludf.DUMMYFUNCTION("""COMPUTED_VALUE"""),45456)</f>
        <v>45456</v>
      </c>
      <c r="C25" s="1" t="str">
        <f>IFERROR(__xludf.DUMMYFUNCTION("""COMPUTED_VALUE"""),"Sithembe Procuments")</f>
        <v>Sithembe Procuments</v>
      </c>
      <c r="D25" s="1"/>
      <c r="E25" s="1" t="str">
        <f>IFERROR(__xludf.DUMMYFUNCTION("""COMPUTED_VALUE"""),"The Cart")</f>
        <v>The Cart</v>
      </c>
      <c r="F25" s="1" t="str">
        <f>IFERROR(__xludf.DUMMYFUNCTION("""COMPUTED_VALUE"""),"No")</f>
        <v>No</v>
      </c>
      <c r="G25" s="1" t="str">
        <f>IFERROR(__xludf.DUMMYFUNCTION("""COMPUTED_VALUE"""),"Sea")</f>
        <v>Sea</v>
      </c>
      <c r="H25" s="1" t="str">
        <f>IFERROR(__xludf.DUMMYFUNCTION("""COMPUTED_VALUE"""),"ADSWB2405033")</f>
        <v>ADSWB2405033</v>
      </c>
      <c r="I25" s="1"/>
      <c r="J25" s="1"/>
      <c r="K25" s="1"/>
      <c r="L25" s="2">
        <f>IFERROR(__xludf.DUMMYFUNCTION("""COMPUTED_VALUE"""),45454)</f>
        <v>45454</v>
      </c>
      <c r="M25" s="1" t="str">
        <f>IFERROR(__xludf.DUMMYFUNCTION("""COMPUTED_VALUE"""),"Our warehouse")</f>
        <v>Our warehouse</v>
      </c>
      <c r="N25" s="1"/>
      <c r="O25" s="1"/>
      <c r="P25" s="4">
        <f>IFERROR(__xludf.DUMMYFUNCTION("""COMPUTED_VALUE"""),0.03)</f>
        <v>0.03</v>
      </c>
      <c r="Q25" s="4">
        <f>IFERROR(__xludf.DUMMYFUNCTION("""COMPUTED_VALUE"""),2)</f>
        <v>2</v>
      </c>
      <c r="R25" s="1"/>
      <c r="S25" s="1"/>
      <c r="T25" s="1" t="str">
        <f>IFERROR(__xludf.DUMMYFUNCTION("""COMPUTED_VALUE"""),"Any nearest port")</f>
        <v>Any nearest port</v>
      </c>
      <c r="U25" s="1" t="str">
        <f>IFERROR(__xludf.DUMMYFUNCTION("""COMPUTED_VALUE"""),"Alberton")</f>
        <v>Alberton</v>
      </c>
      <c r="V25" s="2">
        <f>IFERROR(__xludf.DUMMYFUNCTION("""COMPUTED_VALUE"""),45456)</f>
        <v>45456</v>
      </c>
      <c r="W25" s="1"/>
      <c r="X25" s="1"/>
      <c r="Y25" s="1"/>
      <c r="Z25" s="1"/>
      <c r="AA25" s="5" t="str">
        <f t="shared" si="1"/>
        <v>ADSWB2405033/736</v>
      </c>
      <c r="AB25" s="5" t="s">
        <v>1</v>
      </c>
    </row>
    <row r="26" customHeight="1" spans="1:28">
      <c r="A26" s="1">
        <f>IFERROR(__xludf.DUMMYFUNCTION("""COMPUTED_VALUE"""),752)</f>
        <v>752</v>
      </c>
      <c r="B26" s="2">
        <f>IFERROR(__xludf.DUMMYFUNCTION("""COMPUTED_VALUE"""),45462)</f>
        <v>45462</v>
      </c>
      <c r="C26" s="1" t="str">
        <f>IFERROR(__xludf.DUMMYFUNCTION("""COMPUTED_VALUE"""),"Dianne Cosmetics")</f>
        <v>Dianne Cosmetics</v>
      </c>
      <c r="D26" s="1"/>
      <c r="E26" s="1" t="str">
        <f>IFERROR(__xludf.DUMMYFUNCTION("""COMPUTED_VALUE"""),"Medical goods")</f>
        <v>Medical goods</v>
      </c>
      <c r="F26" s="1" t="str">
        <f>IFERROR(__xludf.DUMMYFUNCTION("""COMPUTED_VALUE"""),"No")</f>
        <v>No</v>
      </c>
      <c r="G26" s="1" t="str">
        <f>IFERROR(__xludf.DUMMYFUNCTION("""COMPUTED_VALUE"""),"Air")</f>
        <v>Air</v>
      </c>
      <c r="H26" s="1" t="str">
        <f>IFERROR(__xludf.DUMMYFUNCTION("""COMPUTED_VALUE"""),"ADAWB2406033")</f>
        <v>ADAWB2406033</v>
      </c>
      <c r="I26" s="1"/>
      <c r="J26" s="1" t="str">
        <f>IFERROR(__xludf.DUMMYFUNCTION("""COMPUTED_VALUE"""),"JW-T0263-240514-5160")</f>
        <v>JW-T0263-240514-5160</v>
      </c>
      <c r="K26" s="1" t="str">
        <f>IFERROR(__xludf.DUMMYFUNCTION("""COMPUTED_VALUE"""),"SF 144 446 289 6901")</f>
        <v>SF 144 446 289 6901</v>
      </c>
      <c r="L26" s="2">
        <f>IFERROR(__xludf.DUMMYFUNCTION("""COMPUTED_VALUE"""),45462)</f>
        <v>45462</v>
      </c>
      <c r="M26" s="1" t="str">
        <f>IFERROR(__xludf.DUMMYFUNCTION("""COMPUTED_VALUE"""),"Our warehouse")</f>
        <v>Our warehouse</v>
      </c>
      <c r="N26" s="1" t="str">
        <f>IFERROR(__xludf.DUMMYFUNCTION("""COMPUTED_VALUE"""),"Box")</f>
        <v>Box</v>
      </c>
      <c r="O26" s="3">
        <f>IFERROR(__xludf.DUMMYFUNCTION("""COMPUTED_VALUE"""),1)</f>
        <v>1</v>
      </c>
      <c r="P26" s="4">
        <f>IFERROR(__xludf.DUMMYFUNCTION("""COMPUTED_VALUE"""),0.04)</f>
        <v>0.04</v>
      </c>
      <c r="Q26" s="4">
        <f>IFERROR(__xludf.DUMMYFUNCTION("""COMPUTED_VALUE"""),2.5)</f>
        <v>2.5</v>
      </c>
      <c r="R26" s="1"/>
      <c r="S26" s="1"/>
      <c r="T26" s="1" t="str">
        <f>IFERROR(__xludf.DUMMYFUNCTION("""COMPUTED_VALUE"""),"Any nearest port")</f>
        <v>Any nearest port</v>
      </c>
      <c r="U26" s="1" t="str">
        <f>IFERROR(__xludf.DUMMYFUNCTION("""COMPUTED_VALUE"""),"Johannesburg")</f>
        <v>Johannesburg</v>
      </c>
      <c r="V26" s="2">
        <f>IFERROR(__xludf.DUMMYFUNCTION("""COMPUTED_VALUE"""),45462)</f>
        <v>45462</v>
      </c>
      <c r="W26" s="1"/>
      <c r="X26" s="1"/>
      <c r="Y26" s="1"/>
      <c r="Z26" s="1"/>
      <c r="AA26" s="5" t="str">
        <f t="shared" si="1"/>
        <v>ADAWB2406033/752</v>
      </c>
      <c r="AB26" s="5" t="s">
        <v>1</v>
      </c>
    </row>
    <row r="27" customHeight="1" spans="1:28">
      <c r="A27" s="1">
        <f>IFERROR(__xludf.DUMMYFUNCTION("""COMPUTED_VALUE"""),737)</f>
        <v>737</v>
      </c>
      <c r="B27" s="2">
        <f>IFERROR(__xludf.DUMMYFUNCTION("""COMPUTED_VALUE"""),45463)</f>
        <v>45463</v>
      </c>
      <c r="C27" s="1" t="str">
        <f>IFERROR(__xludf.DUMMYFUNCTION("""COMPUTED_VALUE"""),"Essop")</f>
        <v>Essop</v>
      </c>
      <c r="D27" s="1" t="str">
        <f>IFERROR(__xludf.DUMMYFUNCTION("""COMPUTED_VALUE"""),"108746926965")</f>
        <v>108746926965</v>
      </c>
      <c r="E27" s="1" t="str">
        <f>IFERROR(__xludf.DUMMYFUNCTION("""COMPUTED_VALUE"""),"Car bumper and spoiler")</f>
        <v>Car bumper and spoiler</v>
      </c>
      <c r="F27" s="1" t="str">
        <f>IFERROR(__xludf.DUMMYFUNCTION("""COMPUTED_VALUE"""),"No")</f>
        <v>No</v>
      </c>
      <c r="G27" s="1" t="str">
        <f>IFERROR(__xludf.DUMMYFUNCTION("""COMPUTED_VALUE"""),"Sea")</f>
        <v>Sea</v>
      </c>
      <c r="H27" s="1" t="str">
        <f>IFERROR(__xludf.DUMMYFUNCTION("""COMPUTED_VALUE"""),"ADSWB2407021")</f>
        <v>ADSWB2407021</v>
      </c>
      <c r="I27" s="1" t="str">
        <f>IFERROR(__xludf.DUMMYFUNCTION("""COMPUTED_VALUE"""),"Our warehouse in China")</f>
        <v>Our warehouse in China</v>
      </c>
      <c r="J27" s="1" t="str">
        <f>IFERROR(__xludf.DUMMYFUNCTION("""COMPUTED_VALUE"""),"JWT0263207598")</f>
        <v>JWT0263207598</v>
      </c>
      <c r="K27" s="1" t="str">
        <f>IFERROR(__xludf.DUMMYFUNCTION("""COMPUTED_VALUE"""),"108746926965")</f>
        <v>108746926965</v>
      </c>
      <c r="L27" s="2">
        <f>IFERROR(__xludf.DUMMYFUNCTION("""COMPUTED_VALUE"""),45464)</f>
        <v>45464</v>
      </c>
      <c r="M27" s="1" t="str">
        <f>IFERROR(__xludf.DUMMYFUNCTION("""COMPUTED_VALUE"""),"Our warehouse in China")</f>
        <v>Our warehouse in China</v>
      </c>
      <c r="N27" s="1" t="str">
        <f>IFERROR(__xludf.DUMMYFUNCTION("""COMPUTED_VALUE"""),"Box")</f>
        <v>Box</v>
      </c>
      <c r="O27" s="3">
        <f>IFERROR(__xludf.DUMMYFUNCTION("""COMPUTED_VALUE"""),1)</f>
        <v>1</v>
      </c>
      <c r="P27" s="4">
        <f>IFERROR(__xludf.DUMMYFUNCTION("""COMPUTED_VALUE"""),1.01)</f>
        <v>1.01</v>
      </c>
      <c r="Q27" s="4">
        <f>IFERROR(__xludf.DUMMYFUNCTION("""COMPUTED_VALUE"""),47)</f>
        <v>47</v>
      </c>
      <c r="R27" s="1"/>
      <c r="S27" s="1"/>
      <c r="T27" s="1" t="str">
        <f>IFERROR(__xludf.DUMMYFUNCTION("""COMPUTED_VALUE"""),"Any nearest Port")</f>
        <v>Any nearest Port</v>
      </c>
      <c r="U27" s="1" t="str">
        <f>IFERROR(__xludf.DUMMYFUNCTION("""COMPUTED_VALUE"""),"96 5th Ave Mayfair  Johannesburg  South Africa  2092")</f>
        <v>96 5th Ave Mayfair  Johannesburg  South Africa  2092</v>
      </c>
      <c r="V27" s="2">
        <f>IFERROR(__xludf.DUMMYFUNCTION("""COMPUTED_VALUE"""),45463)</f>
        <v>45463</v>
      </c>
      <c r="W27" s="1"/>
      <c r="X27" s="1"/>
      <c r="Y27" s="1"/>
      <c r="Z27" s="1"/>
      <c r="AA27" s="5" t="str">
        <f t="shared" si="1"/>
        <v>ADSWB2407021/737</v>
      </c>
      <c r="AB27" s="5" t="s">
        <v>1</v>
      </c>
    </row>
    <row r="28" customHeight="1" spans="1:28">
      <c r="A28" s="1">
        <f>IFERROR(__xludf.DUMMYFUNCTION("""COMPUTED_VALUE"""),697)</f>
        <v>697</v>
      </c>
      <c r="B28" s="2">
        <f>IFERROR(__xludf.DUMMYFUNCTION("""COMPUTED_VALUE"""),45436)</f>
        <v>45436</v>
      </c>
      <c r="C28" s="1" t="str">
        <f>IFERROR(__xludf.DUMMYFUNCTION("""COMPUTED_VALUE"""),"Ben Gazide")</f>
        <v>Ben Gazide</v>
      </c>
      <c r="D28" s="1"/>
      <c r="E28" s="1" t="str">
        <f>IFERROR(__xludf.DUMMYFUNCTION("""COMPUTED_VALUE"""),"Shoes")</f>
        <v>Shoes</v>
      </c>
      <c r="F28" s="1" t="str">
        <f>IFERROR(__xludf.DUMMYFUNCTION("""COMPUTED_VALUE"""),"No")</f>
        <v>No</v>
      </c>
      <c r="G28" s="1" t="str">
        <f>IFERROR(__xludf.DUMMYFUNCTION("""COMPUTED_VALUE"""),"Air")</f>
        <v>Air</v>
      </c>
      <c r="H28" s="1" t="str">
        <f>IFERROR(__xludf.DUMMYFUNCTION("""COMPUTED_VALUE"""),"ADAWB2405034")</f>
        <v>ADAWB2405034</v>
      </c>
      <c r="I28" s="1" t="str">
        <f>IFERROR(__xludf.DUMMYFUNCTION("""COMPUTED_VALUE"""),"Our warehouse in China")</f>
        <v>Our warehouse in China</v>
      </c>
      <c r="J28" s="1" t="str">
        <f>IFERROR(__xludf.DUMMYFUNCTION("""COMPUTED_VALUE"""),"JWT0263153061")</f>
        <v>JWT0263153061</v>
      </c>
      <c r="K28" s="1" t="str">
        <f>IFERROR(__xludf.DUMMYFUNCTION("""COMPUTED_VALUE"""),"78807286700735")</f>
        <v>78807286700735</v>
      </c>
      <c r="L28" s="2">
        <f>IFERROR(__xludf.DUMMYFUNCTION("""COMPUTED_VALUE"""),45457)</f>
        <v>45457</v>
      </c>
      <c r="M28" s="1" t="str">
        <f>IFERROR(__xludf.DUMMYFUNCTION("""COMPUTED_VALUE"""),"Our warehouse address")</f>
        <v>Our warehouse address</v>
      </c>
      <c r="N28" s="1" t="str">
        <f>IFERROR(__xludf.DUMMYFUNCTION("""COMPUTED_VALUE"""),"Box")</f>
        <v>Box</v>
      </c>
      <c r="O28" s="3">
        <f>IFERROR(__xludf.DUMMYFUNCTION("""COMPUTED_VALUE"""),1)</f>
        <v>1</v>
      </c>
      <c r="P28" s="4">
        <f>IFERROR(__xludf.DUMMYFUNCTION("""COMPUTED_VALUE"""),0.1)</f>
        <v>0.1</v>
      </c>
      <c r="Q28" s="4">
        <f>IFERROR(__xludf.DUMMYFUNCTION("""COMPUTED_VALUE"""),12.5)</f>
        <v>12.5</v>
      </c>
      <c r="R28" s="1"/>
      <c r="S28" s="1">
        <f>IFERROR(__xludf.DUMMYFUNCTION("""COMPUTED_VALUE"""),6)</f>
        <v>6</v>
      </c>
      <c r="T28" s="1" t="str">
        <f>IFERROR(__xludf.DUMMYFUNCTION("""COMPUTED_VALUE"""),"Any nearest port")</f>
        <v>Any nearest port</v>
      </c>
      <c r="U28" s="1" t="str">
        <f>IFERROR(__xludf.DUMMYFUNCTION("""COMPUTED_VALUE"""),"Mpumalanga")</f>
        <v>Mpumalanga</v>
      </c>
      <c r="V28" s="2">
        <f>IFERROR(__xludf.DUMMYFUNCTION("""COMPUTED_VALUE"""),45468)</f>
        <v>45468</v>
      </c>
      <c r="W28" s="1" t="b">
        <f>IFERROR(__xludf.DUMMYFUNCTION("""COMPUTED_VALUE"""),FALSE)</f>
        <v>0</v>
      </c>
      <c r="X28" s="1"/>
      <c r="Y28" s="1">
        <f>IFERROR(__xludf.DUMMYFUNCTION("""COMPUTED_VALUE"""),2.5)</f>
        <v>2.5</v>
      </c>
      <c r="Z28" s="1"/>
      <c r="AA28" s="5" t="str">
        <f t="shared" si="1"/>
        <v>ADAWB2405034/697</v>
      </c>
      <c r="AB28" s="5" t="s">
        <v>1</v>
      </c>
    </row>
    <row r="29" customHeight="1" spans="1:28">
      <c r="A29" s="1">
        <f>IFERROR(__xludf.DUMMYFUNCTION("""COMPUTED_VALUE"""),776)</f>
        <v>776</v>
      </c>
      <c r="B29" s="2">
        <f>IFERROR(__xludf.DUMMYFUNCTION("""COMPUTED_VALUE"""),45468)</f>
        <v>45468</v>
      </c>
      <c r="C29" s="1" t="str">
        <f>IFERROR(__xludf.DUMMYFUNCTION("""COMPUTED_VALUE"""),"Courtney Heath-Lunt")</f>
        <v>Courtney Heath-Lunt</v>
      </c>
      <c r="D29" s="1"/>
      <c r="E29" s="1" t="str">
        <f>IFERROR(__xludf.DUMMYFUNCTION("""COMPUTED_VALUE"""),"Bubble Mailer Bags")</f>
        <v>Bubble Mailer Bags</v>
      </c>
      <c r="F29" s="1" t="str">
        <f>IFERROR(__xludf.DUMMYFUNCTION("""COMPUTED_VALUE"""),"No")</f>
        <v>No</v>
      </c>
      <c r="G29" s="1" t="str">
        <f>IFERROR(__xludf.DUMMYFUNCTION("""COMPUTED_VALUE"""),"Sea")</f>
        <v>Sea</v>
      </c>
      <c r="H29" s="1" t="str">
        <f>IFERROR(__xludf.DUMMYFUNCTION("""COMPUTED_VALUE"""),"ADSWB2407021")</f>
        <v>ADSWB2407021</v>
      </c>
      <c r="I29" s="1" t="str">
        <f>IFERROR(__xludf.DUMMYFUNCTION("""COMPUTED_VALUE"""),"Our warehouse in China")</f>
        <v>Our warehouse in China</v>
      </c>
      <c r="J29" s="1" t="str">
        <f>IFERROR(__xludf.DUMMYFUNCTION("""COMPUTED_VALUE"""),"JWT0263029616")</f>
        <v>JWT0263029616</v>
      </c>
      <c r="K29" s="1"/>
      <c r="L29" s="2">
        <f>IFERROR(__xludf.DUMMYFUNCTION("""COMPUTED_VALUE"""),45470)</f>
        <v>45470</v>
      </c>
      <c r="M29" s="1" t="str">
        <f>IFERROR(__xludf.DUMMYFUNCTION("""COMPUTED_VALUE"""),"Our warehouse in China")</f>
        <v>Our warehouse in China</v>
      </c>
      <c r="N29" s="1" t="str">
        <f>IFERROR(__xludf.DUMMYFUNCTION("""COMPUTED_VALUE"""),"Box")</f>
        <v>Box</v>
      </c>
      <c r="O29" s="3">
        <f>IFERROR(__xludf.DUMMYFUNCTION("""COMPUTED_VALUE"""),5)</f>
        <v>5</v>
      </c>
      <c r="P29" s="4">
        <f>IFERROR(__xludf.DUMMYFUNCTION("""COMPUTED_VALUE"""),0.62)</f>
        <v>0.62</v>
      </c>
      <c r="Q29" s="4">
        <f>IFERROR(__xludf.DUMMYFUNCTION("""COMPUTED_VALUE"""),18)</f>
        <v>18</v>
      </c>
      <c r="R29" s="1"/>
      <c r="S29" s="1"/>
      <c r="T29" s="1" t="str">
        <f>IFERROR(__xludf.DUMMYFUNCTION("""COMPUTED_VALUE"""),"Any nearest port")</f>
        <v>Any nearest port</v>
      </c>
      <c r="U29" s="1" t="str">
        <f>IFERROR(__xludf.DUMMYFUNCTION("""COMPUTED_VALUE"""),"44Cradle Ridge Estate, Falls road, Homes haven, Krugersdorp")</f>
        <v>44Cradle Ridge Estate, Falls road, Homes haven, Krugersdorp</v>
      </c>
      <c r="V29" s="2">
        <f>IFERROR(__xludf.DUMMYFUNCTION("""COMPUTED_VALUE"""),45470)</f>
        <v>45470</v>
      </c>
      <c r="W29" s="1"/>
      <c r="X29" s="1"/>
      <c r="Y29" s="1"/>
      <c r="Z29" s="1"/>
      <c r="AA29" s="5" t="str">
        <f t="shared" si="1"/>
        <v>ADSWB2407021/776</v>
      </c>
      <c r="AB29" s="5" t="s">
        <v>1</v>
      </c>
    </row>
    <row r="30" customHeight="1" spans="1:2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 t="str">
        <f t="shared" si="1"/>
        <v/>
      </c>
      <c r="AB30" s="5" t="s">
        <v>1</v>
      </c>
    </row>
    <row r="31" customHeight="1" spans="1:2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 t="str">
        <f t="shared" si="1"/>
        <v/>
      </c>
      <c r="AB31" s="5" t="s">
        <v>1</v>
      </c>
    </row>
    <row r="32" customHeight="1" spans="1:2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 t="str">
        <f t="shared" si="1"/>
        <v/>
      </c>
      <c r="AB32" s="5" t="s">
        <v>1</v>
      </c>
    </row>
    <row r="33" customHeight="1" spans="1:2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 t="str">
        <f t="shared" si="1"/>
        <v/>
      </c>
      <c r="AB33" s="5" t="s">
        <v>1</v>
      </c>
    </row>
    <row r="34" customHeight="1" spans="1:2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 t="str">
        <f t="shared" si="1"/>
        <v/>
      </c>
      <c r="AB34" s="5" t="s">
        <v>1</v>
      </c>
    </row>
    <row r="35" customHeight="1" spans="1:2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 t="str">
        <f t="shared" si="1"/>
        <v/>
      </c>
      <c r="AB35" s="5" t="s">
        <v>1</v>
      </c>
    </row>
    <row r="36" customHeight="1" spans="1:28">
      <c r="A36" s="1">
        <f>IFERROR(__xludf.DUMMYFUNCTION("""COMPUTED_VALUE"""),776)</f>
        <v>776</v>
      </c>
      <c r="B36" s="2">
        <f>IFERROR(__xludf.DUMMYFUNCTION("""COMPUTED_VALUE"""),45474)</f>
        <v>45474</v>
      </c>
      <c r="C36" s="1" t="str">
        <f>IFERROR(__xludf.DUMMYFUNCTION("""COMPUTED_VALUE"""),"Courtney Heath-Lunt")</f>
        <v>Courtney Heath-Lunt</v>
      </c>
      <c r="D36" s="1"/>
      <c r="E36" s="1" t="str">
        <f>IFERROR(__xludf.DUMMYFUNCTION("""COMPUTED_VALUE"""),"Gifting Tissue Paper")</f>
        <v>Gifting Tissue Paper</v>
      </c>
      <c r="F36" s="1" t="str">
        <f>IFERROR(__xludf.DUMMYFUNCTION("""COMPUTED_VALUE"""),"No")</f>
        <v>No</v>
      </c>
      <c r="G36" s="1" t="str">
        <f>IFERROR(__xludf.DUMMYFUNCTION("""COMPUTED_VALUE"""),"Sea")</f>
        <v>Sea</v>
      </c>
      <c r="H36" s="1" t="str">
        <f>IFERROR(__xludf.DUMMYFUNCTION("""COMPUTED_VALUE"""),"ADSWB2407021")</f>
        <v>ADSWB2407021</v>
      </c>
      <c r="I36" s="1" t="str">
        <f>IFERROR(__xludf.DUMMYFUNCTION("""COMPUTED_VALUE"""),"Our Warehouse in China")</f>
        <v>Our Warehouse in China</v>
      </c>
      <c r="J36" s="1" t="str">
        <f>IFERROR(__xludf.DUMMYFUNCTION("""COMPUTED_VALUE"""),"JWT0263619416")</f>
        <v>JWT0263619416</v>
      </c>
      <c r="K36" s="1" t="str">
        <f>IFERROR(__xludf.DUMMYFUNCTION("""COMPUTED_VALUE"""),"JYM188009445897")</f>
        <v>JYM188009445897</v>
      </c>
      <c r="L36" s="2">
        <f>IFERROR(__xludf.DUMMYFUNCTION("""COMPUTED_VALUE"""),45470)</f>
        <v>45470</v>
      </c>
      <c r="M36" s="1" t="str">
        <f>IFERROR(__xludf.DUMMYFUNCTION("""COMPUTED_VALUE"""),"Our Warehouse in China")</f>
        <v>Our Warehouse in China</v>
      </c>
      <c r="N36" s="1" t="str">
        <f>IFERROR(__xludf.DUMMYFUNCTION("""COMPUTED_VALUE"""),"Box")</f>
        <v>Box</v>
      </c>
      <c r="O36" s="3">
        <f>IFERROR(__xludf.DUMMYFUNCTION("""COMPUTED_VALUE"""),1)</f>
        <v>1</v>
      </c>
      <c r="P36" s="4">
        <f>IFERROR(__xludf.DUMMYFUNCTION("""COMPUTED_VALUE"""),0.03)</f>
        <v>0.03</v>
      </c>
      <c r="Q36" s="4">
        <f>IFERROR(__xludf.DUMMYFUNCTION("""COMPUTED_VALUE"""),8)</f>
        <v>8</v>
      </c>
      <c r="R36" s="1"/>
      <c r="S36" s="1"/>
      <c r="T36" s="1" t="str">
        <f>IFERROR(__xludf.DUMMYFUNCTION("""COMPUTED_VALUE"""),"Any nearest port")</f>
        <v>Any nearest port</v>
      </c>
      <c r="U36" s="1" t="str">
        <f>IFERROR(__xludf.DUMMYFUNCTION("""COMPUTED_VALUE"""),"44Cradle Ridge Estate, Falls road, Homes haven, Krugersdorp")</f>
        <v>44Cradle Ridge Estate, Falls road, Homes haven, Krugersdorp</v>
      </c>
      <c r="V36" s="2">
        <f>IFERROR(__xludf.DUMMYFUNCTION("""COMPUTED_VALUE"""),45474)</f>
        <v>45474</v>
      </c>
      <c r="W36" s="1"/>
      <c r="X36" s="1"/>
      <c r="Y36" s="1"/>
      <c r="Z36" s="1"/>
      <c r="AA36" s="5" t="str">
        <f t="shared" si="1"/>
        <v>ADSWB2407021/776</v>
      </c>
      <c r="AB36" s="5" t="s">
        <v>1</v>
      </c>
    </row>
    <row r="37" customHeight="1" spans="1:28">
      <c r="A37" s="1">
        <f>IFERROR(__xludf.DUMMYFUNCTION("""COMPUTED_VALUE"""),776)</f>
        <v>776</v>
      </c>
      <c r="B37" s="2">
        <f>IFERROR(__xludf.DUMMYFUNCTION("""COMPUTED_VALUE"""),45474)</f>
        <v>45474</v>
      </c>
      <c r="C37" s="1" t="str">
        <f>IFERROR(__xludf.DUMMYFUNCTION("""COMPUTED_VALUE"""),"Courtney Heath-Lunt")</f>
        <v>Courtney Heath-Lunt</v>
      </c>
      <c r="D37" s="1"/>
      <c r="E37" s="1" t="str">
        <f>IFERROR(__xludf.DUMMYFUNCTION("""COMPUTED_VALUE"""),"Small Blacks Ziplocs")</f>
        <v>Small Blacks Ziplocs</v>
      </c>
      <c r="F37" s="1" t="str">
        <f>IFERROR(__xludf.DUMMYFUNCTION("""COMPUTED_VALUE"""),"No")</f>
        <v>No</v>
      </c>
      <c r="G37" s="1" t="str">
        <f>IFERROR(__xludf.DUMMYFUNCTION("""COMPUTED_VALUE"""),"Sea")</f>
        <v>Sea</v>
      </c>
      <c r="H37" s="1" t="str">
        <f>IFERROR(__xludf.DUMMYFUNCTION("""COMPUTED_VALUE"""),"ADSWB2407021")</f>
        <v>ADSWB2407021</v>
      </c>
      <c r="I37" s="1" t="str">
        <f>IFERROR(__xludf.DUMMYFUNCTION("""COMPUTED_VALUE"""),"Our warehouse in China")</f>
        <v>Our warehouse in China</v>
      </c>
      <c r="J37" s="1" t="str">
        <f>IFERROR(__xludf.DUMMYFUNCTION("""COMPUTED_VALUE"""),"JWT0263351010")</f>
        <v>JWT0263351010</v>
      </c>
      <c r="K37" s="1" t="str">
        <f>IFERROR(__xludf.DUMMYFUNCTION("""COMPUTED_VALUE"""),"78811554357718")</f>
        <v>78811554357718</v>
      </c>
      <c r="L37" s="2">
        <f>IFERROR(__xludf.DUMMYFUNCTION("""COMPUTED_VALUE"""),45471)</f>
        <v>45471</v>
      </c>
      <c r="M37" s="1" t="str">
        <f>IFERROR(__xludf.DUMMYFUNCTION("""COMPUTED_VALUE"""),"Our warehouse in China")</f>
        <v>Our warehouse in China</v>
      </c>
      <c r="N37" s="1" t="str">
        <f>IFERROR(__xludf.DUMMYFUNCTION("""COMPUTED_VALUE"""),"Box")</f>
        <v>Box</v>
      </c>
      <c r="O37" s="3">
        <f>IFERROR(__xludf.DUMMYFUNCTION("""COMPUTED_VALUE"""),1)</f>
        <v>1</v>
      </c>
      <c r="P37" s="4">
        <f>IFERROR(__xludf.DUMMYFUNCTION("""COMPUTED_VALUE"""),0.01)</f>
        <v>0.01</v>
      </c>
      <c r="Q37" s="4">
        <f>IFERROR(__xludf.DUMMYFUNCTION("""COMPUTED_VALUE"""),1.5)</f>
        <v>1.5</v>
      </c>
      <c r="R37" s="1"/>
      <c r="S37" s="1"/>
      <c r="T37" s="1" t="str">
        <f>IFERROR(__xludf.DUMMYFUNCTION("""COMPUTED_VALUE"""),"Any nearest port")</f>
        <v>Any nearest port</v>
      </c>
      <c r="U37" s="1" t="str">
        <f>IFERROR(__xludf.DUMMYFUNCTION("""COMPUTED_VALUE"""),"44Cradle Ridge Estate, Falls road, Homes haven, Krugersdorp")</f>
        <v>44Cradle Ridge Estate, Falls road, Homes haven, Krugersdorp</v>
      </c>
      <c r="V37" s="2">
        <f>IFERROR(__xludf.DUMMYFUNCTION("""COMPUTED_VALUE"""),45474)</f>
        <v>45474</v>
      </c>
      <c r="W37" s="1"/>
      <c r="X37" s="1"/>
      <c r="Y37" s="1"/>
      <c r="Z37" s="1"/>
      <c r="AA37" s="5" t="str">
        <f t="shared" si="1"/>
        <v>ADSWB2407021/776</v>
      </c>
      <c r="AB37" s="5" t="s">
        <v>1</v>
      </c>
    </row>
    <row r="38" customHeight="1" spans="1:28">
      <c r="A38" s="1">
        <f>IFERROR(__xludf.DUMMYFUNCTION("""COMPUTED_VALUE"""),776)</f>
        <v>776</v>
      </c>
      <c r="B38" s="2">
        <f>IFERROR(__xludf.DUMMYFUNCTION("""COMPUTED_VALUE"""),45474)</f>
        <v>45474</v>
      </c>
      <c r="C38" s="1" t="str">
        <f>IFERROR(__xludf.DUMMYFUNCTION("""COMPUTED_VALUE"""),"Courtney Heath-Lunt")</f>
        <v>Courtney Heath-Lunt</v>
      </c>
      <c r="D38" s="1"/>
      <c r="E38" s="1" t="str">
        <f>IFERROR(__xludf.DUMMYFUNCTION("""COMPUTED_VALUE"""),"WAXXD Pearled Candles")</f>
        <v>WAXXD Pearled Candles</v>
      </c>
      <c r="F38" s="1" t="str">
        <f>IFERROR(__xludf.DUMMYFUNCTION("""COMPUTED_VALUE"""),"No")</f>
        <v>No</v>
      </c>
      <c r="G38" s="1" t="str">
        <f>IFERROR(__xludf.DUMMYFUNCTION("""COMPUTED_VALUE"""),"Sea")</f>
        <v>Sea</v>
      </c>
      <c r="H38" s="1" t="str">
        <f>IFERROR(__xludf.DUMMYFUNCTION("""COMPUTED_VALUE"""),"ADSWB2407021")</f>
        <v>ADSWB2407021</v>
      </c>
      <c r="I38" s="1" t="str">
        <f>IFERROR(__xludf.DUMMYFUNCTION("""COMPUTED_VALUE"""),"Our warehouse in China")</f>
        <v>Our warehouse in China</v>
      </c>
      <c r="J38" s="1" t="str">
        <f>IFERROR(__xludf.DUMMYFUNCTION("""COMPUTED_VALUE"""),"JWT0263855759")</f>
        <v>JWT0263855759</v>
      </c>
      <c r="K38" s="1" t="str">
        <f>IFERROR(__xludf.DUMMYFUNCTION("""COMPUTED_VALUE"""),"433988323681898")</f>
        <v>433988323681898</v>
      </c>
      <c r="L38" s="2">
        <f>IFERROR(__xludf.DUMMYFUNCTION("""COMPUTED_VALUE"""),45471)</f>
        <v>45471</v>
      </c>
      <c r="M38" s="1" t="str">
        <f>IFERROR(__xludf.DUMMYFUNCTION("""COMPUTED_VALUE"""),"Our warehouse in China")</f>
        <v>Our warehouse in China</v>
      </c>
      <c r="N38" s="1" t="str">
        <f>IFERROR(__xludf.DUMMYFUNCTION("""COMPUTED_VALUE"""),"Box")</f>
        <v>Box</v>
      </c>
      <c r="O38" s="3">
        <f>IFERROR(__xludf.DUMMYFUNCTION("""COMPUTED_VALUE"""),3)</f>
        <v>3</v>
      </c>
      <c r="P38" s="4">
        <f>IFERROR(__xludf.DUMMYFUNCTION("""COMPUTED_VALUE"""),0.41)</f>
        <v>0.41</v>
      </c>
      <c r="Q38" s="4">
        <f>IFERROR(__xludf.DUMMYFUNCTION("""COMPUTED_VALUE"""),20)</f>
        <v>20</v>
      </c>
      <c r="R38" s="1"/>
      <c r="S38" s="1"/>
      <c r="T38" s="1" t="str">
        <f>IFERROR(__xludf.DUMMYFUNCTION("""COMPUTED_VALUE"""),"Any nearest Port")</f>
        <v>Any nearest Port</v>
      </c>
      <c r="U38" s="1" t="str">
        <f>IFERROR(__xludf.DUMMYFUNCTION("""COMPUTED_VALUE"""),"44Cradle Ridge Estate, Falls road, Homes haven, Krugersdorp")</f>
        <v>44Cradle Ridge Estate, Falls road, Homes haven, Krugersdorp</v>
      </c>
      <c r="V38" s="2">
        <f>IFERROR(__xludf.DUMMYFUNCTION("""COMPUTED_VALUE"""),45474)</f>
        <v>45474</v>
      </c>
      <c r="W38" s="1"/>
      <c r="X38" s="1"/>
      <c r="Y38" s="1"/>
      <c r="Z38" s="1"/>
      <c r="AA38" s="5" t="str">
        <f t="shared" si="1"/>
        <v>ADSWB2407021/776</v>
      </c>
      <c r="AB38" s="5" t="s">
        <v>1</v>
      </c>
    </row>
    <row r="39" customHeight="1" spans="1:28">
      <c r="A39" s="1">
        <f>IFERROR(__xludf.DUMMYFUNCTION("""COMPUTED_VALUE"""),776)</f>
        <v>776</v>
      </c>
      <c r="B39" s="2">
        <f>IFERROR(__xludf.DUMMYFUNCTION("""COMPUTED_VALUE"""),45474)</f>
        <v>45474</v>
      </c>
      <c r="C39" s="1" t="str">
        <f>IFERROR(__xludf.DUMMYFUNCTION("""COMPUTED_VALUE"""),"Courtney Heath-Lunt")</f>
        <v>Courtney Heath-Lunt</v>
      </c>
      <c r="D39" s="1"/>
      <c r="E39" s="1" t="str">
        <f>IFERROR(__xludf.DUMMYFUNCTION("""COMPUTED_VALUE"""),"Premium Pearled Candles")</f>
        <v>Premium Pearled Candles</v>
      </c>
      <c r="F39" s="1" t="str">
        <f>IFERROR(__xludf.DUMMYFUNCTION("""COMPUTED_VALUE"""),"No")</f>
        <v>No</v>
      </c>
      <c r="G39" s="1" t="str">
        <f>IFERROR(__xludf.DUMMYFUNCTION("""COMPUTED_VALUE"""),"Sea")</f>
        <v>Sea</v>
      </c>
      <c r="H39" s="1" t="str">
        <f>IFERROR(__xludf.DUMMYFUNCTION("""COMPUTED_VALUE"""),"ADSWB2407021")</f>
        <v>ADSWB2407021</v>
      </c>
      <c r="I39" s="1" t="str">
        <f>IFERROR(__xludf.DUMMYFUNCTION("""COMPUTED_VALUE"""),"Our warehouse in China")</f>
        <v>Our warehouse in China</v>
      </c>
      <c r="J39" s="1" t="str">
        <f>IFERROR(__xludf.DUMMYFUNCTION("""COMPUTED_VALUE"""),"JWT0263956330")</f>
        <v>JWT0263956330</v>
      </c>
      <c r="K39" s="1" t="str">
        <f>IFERROR(__xludf.DUMMYFUNCTION("""COMPUTED_VALUE"""),"910011323447")</f>
        <v>910011323447</v>
      </c>
      <c r="L39" s="2">
        <f>IFERROR(__xludf.DUMMYFUNCTION("""COMPUTED_VALUE"""),45471)</f>
        <v>45471</v>
      </c>
      <c r="M39" s="1" t="str">
        <f>IFERROR(__xludf.DUMMYFUNCTION("""COMPUTED_VALUE"""),"Our warehouse in China")</f>
        <v>Our warehouse in China</v>
      </c>
      <c r="N39" s="1" t="str">
        <f>IFERROR(__xludf.DUMMYFUNCTION("""COMPUTED_VALUE"""),"Box")</f>
        <v>Box</v>
      </c>
      <c r="O39" s="3">
        <f>IFERROR(__xludf.DUMMYFUNCTION("""COMPUTED_VALUE"""),1)</f>
        <v>1</v>
      </c>
      <c r="P39" s="4">
        <f>IFERROR(__xludf.DUMMYFUNCTION("""COMPUTED_VALUE"""),0.05)</f>
        <v>0.05</v>
      </c>
      <c r="Q39" s="4">
        <f>IFERROR(__xludf.DUMMYFUNCTION("""COMPUTED_VALUE"""),20)</f>
        <v>20</v>
      </c>
      <c r="R39" s="1"/>
      <c r="S39" s="1"/>
      <c r="T39" s="1" t="str">
        <f>IFERROR(__xludf.DUMMYFUNCTION("""COMPUTED_VALUE"""),"Any nearest port")</f>
        <v>Any nearest port</v>
      </c>
      <c r="U39" s="1" t="str">
        <f>IFERROR(__xludf.DUMMYFUNCTION("""COMPUTED_VALUE"""),"44Cradle Ridge Estate, Falls road, Homes haven, Krugersdorp")</f>
        <v>44Cradle Ridge Estate, Falls road, Homes haven, Krugersdorp</v>
      </c>
      <c r="V39" s="2">
        <f>IFERROR(__xludf.DUMMYFUNCTION("""COMPUTED_VALUE"""),45474)</f>
        <v>45474</v>
      </c>
      <c r="W39" s="1"/>
      <c r="X39" s="1"/>
      <c r="Y39" s="1"/>
      <c r="Z39" s="1"/>
      <c r="AA39" s="5" t="str">
        <f t="shared" si="1"/>
        <v>ADSWB2407021/776</v>
      </c>
      <c r="AB39" s="5" t="s">
        <v>1</v>
      </c>
    </row>
    <row r="40" customHeight="1" spans="1:28">
      <c r="A40" s="1">
        <f>IFERROR(__xludf.DUMMYFUNCTION("""COMPUTED_VALUE"""),776)</f>
        <v>776</v>
      </c>
      <c r="B40" s="2">
        <f>IFERROR(__xludf.DUMMYFUNCTION("""COMPUTED_VALUE"""),45474)</f>
        <v>45474</v>
      </c>
      <c r="C40" s="1" t="str">
        <f>IFERROR(__xludf.DUMMYFUNCTION("""COMPUTED_VALUE"""),"Courtney Heath-Lunt")</f>
        <v>Courtney Heath-Lunt</v>
      </c>
      <c r="D40" s="1"/>
      <c r="E40" s="1" t="str">
        <f>IFERROR(__xludf.DUMMYFUNCTION("""COMPUTED_VALUE"""),"Small white Boxes")</f>
        <v>Small white Boxes</v>
      </c>
      <c r="F40" s="1" t="str">
        <f>IFERROR(__xludf.DUMMYFUNCTION("""COMPUTED_VALUE"""),"No")</f>
        <v>No</v>
      </c>
      <c r="G40" s="1" t="str">
        <f>IFERROR(__xludf.DUMMYFUNCTION("""COMPUTED_VALUE"""),"Sea")</f>
        <v>Sea</v>
      </c>
      <c r="H40" s="1" t="str">
        <f>IFERROR(__xludf.DUMMYFUNCTION("""COMPUTED_VALUE"""),"ADSWB2407021")</f>
        <v>ADSWB2407021</v>
      </c>
      <c r="I40" s="1" t="str">
        <f>IFERROR(__xludf.DUMMYFUNCTION("""COMPUTED_VALUE"""),"Our warehouse in China")</f>
        <v>Our warehouse in China</v>
      </c>
      <c r="J40" s="1" t="str">
        <f>IFERROR(__xludf.DUMMYFUNCTION("""COMPUTED_VALUE"""),"JWT0263700721")</f>
        <v>JWT0263700721</v>
      </c>
      <c r="K40" s="1" t="str">
        <f>IFERROR(__xludf.DUMMYFUNCTION("""COMPUTED_VALUE"""),"433989984014769")</f>
        <v>433989984014769</v>
      </c>
      <c r="L40" s="2">
        <f>IFERROR(__xludf.DUMMYFUNCTION("""COMPUTED_VALUE"""),45474)</f>
        <v>45474</v>
      </c>
      <c r="M40" s="1" t="str">
        <f>IFERROR(__xludf.DUMMYFUNCTION("""COMPUTED_VALUE"""),"Our warehouse in China")</f>
        <v>Our warehouse in China</v>
      </c>
      <c r="N40" s="1" t="str">
        <f>IFERROR(__xludf.DUMMYFUNCTION("""COMPUTED_VALUE"""),"Bag")</f>
        <v>Bag</v>
      </c>
      <c r="O40" s="3">
        <f>IFERROR(__xludf.DUMMYFUNCTION("""COMPUTED_VALUE"""),1)</f>
        <v>1</v>
      </c>
      <c r="P40" s="4">
        <f>IFERROR(__xludf.DUMMYFUNCTION("""COMPUTED_VALUE"""),0.03)</f>
        <v>0.03</v>
      </c>
      <c r="Q40" s="4">
        <f>IFERROR(__xludf.DUMMYFUNCTION("""COMPUTED_VALUE"""),2)</f>
        <v>2</v>
      </c>
      <c r="R40" s="1"/>
      <c r="S40" s="1"/>
      <c r="T40" s="1" t="str">
        <f>IFERROR(__xludf.DUMMYFUNCTION("""COMPUTED_VALUE"""),"Any nearest port")</f>
        <v>Any nearest port</v>
      </c>
      <c r="U40" s="1" t="str">
        <f>IFERROR(__xludf.DUMMYFUNCTION("""COMPUTED_VALUE"""),"44Cradle Ridge Estate, Falls road, Homes haven, Krugersdorp")</f>
        <v>44Cradle Ridge Estate, Falls road, Homes haven, Krugersdorp</v>
      </c>
      <c r="V40" s="2">
        <f>IFERROR(__xludf.DUMMYFUNCTION("""COMPUTED_VALUE"""),45474)</f>
        <v>45474</v>
      </c>
      <c r="W40" s="1"/>
      <c r="X40" s="1"/>
      <c r="Y40" s="1"/>
      <c r="Z40" s="1"/>
      <c r="AA40" s="5" t="str">
        <f t="shared" si="1"/>
        <v>ADSWB2407021/776</v>
      </c>
      <c r="AB40" s="5" t="s">
        <v>1</v>
      </c>
    </row>
    <row r="41" customHeight="1" spans="1:28">
      <c r="A41" s="1">
        <f>IFERROR(__xludf.DUMMYFUNCTION("""COMPUTED_VALUE"""),745)</f>
        <v>745</v>
      </c>
      <c r="B41" s="2">
        <f>IFERROR(__xludf.DUMMYFUNCTION("""COMPUTED_VALUE"""),45461)</f>
        <v>45461</v>
      </c>
      <c r="C41" s="1" t="str">
        <f>IFERROR(__xludf.DUMMYFUNCTION("""COMPUTED_VALUE"""),"Sparcraft Masts SA (Pty) Ltd")</f>
        <v>Sparcraft Masts SA (Pty) Ltd</v>
      </c>
      <c r="D41" s="1"/>
      <c r="E41" s="1" t="str">
        <f>IFERROR(__xludf.DUMMYFUNCTION("""COMPUTED_VALUE"""),"Machine parts")</f>
        <v>Machine parts</v>
      </c>
      <c r="F41" s="1" t="str">
        <f>IFERROR(__xludf.DUMMYFUNCTION("""COMPUTED_VALUE"""),"No")</f>
        <v>No</v>
      </c>
      <c r="G41" s="1" t="str">
        <f>IFERROR(__xludf.DUMMYFUNCTION("""COMPUTED_VALUE"""),"Sea")</f>
        <v>Sea</v>
      </c>
      <c r="H41" s="1" t="str">
        <f>IFERROR(__xludf.DUMMYFUNCTION("""COMPUTED_VALUE"""),"ADSWB2407021")</f>
        <v>ADSWB2407021</v>
      </c>
      <c r="I41" s="1" t="str">
        <f>IFERROR(__xludf.DUMMYFUNCTION("""COMPUTED_VALUE"""),"Our warehouse in China")</f>
        <v>Our warehouse in China</v>
      </c>
      <c r="J41" s="1" t="str">
        <f>IFERROR(__xludf.DUMMYFUNCTION("""COMPUTED_VALUE"""),"JWT0263051985")</f>
        <v>JWT0263051985</v>
      </c>
      <c r="K41" s="1" t="str">
        <f>IFERROR(__xludf.DUMMYFUNCTION("""COMPUTED_VALUE"""),"KY4000412341818")</f>
        <v>KY4000412341818</v>
      </c>
      <c r="L41" s="2">
        <f>IFERROR(__xludf.DUMMYFUNCTION("""COMPUTED_VALUE"""),45471)</f>
        <v>45471</v>
      </c>
      <c r="M41" s="1" t="str">
        <f>IFERROR(__xludf.DUMMYFUNCTION("""COMPUTED_VALUE"""),"QINGDAO OURUI MACHINERY AND HARDWARE CO.,LTD RM2303 NO.788 AOLAN ROAD,TONGJI SUBDISTRICT,JIMO DISTRICT ,QINGDAO")</f>
        <v>QINGDAO OURUI MACHINERY AND HARDWARE CO.,LTD RM2303 NO.788 AOLAN ROAD,TONGJI SUBDISTRICT,JIMO DISTRICT ,QINGDAO</v>
      </c>
      <c r="N41" s="1" t="str">
        <f>IFERROR(__xludf.DUMMYFUNCTION("""COMPUTED_VALUE"""),"Box")</f>
        <v>Box</v>
      </c>
      <c r="O41" s="3">
        <f>IFERROR(__xludf.DUMMYFUNCTION("""COMPUTED_VALUE"""),1)</f>
        <v>1</v>
      </c>
      <c r="P41" s="4">
        <f>IFERROR(__xludf.DUMMYFUNCTION("""COMPUTED_VALUE"""),0.24)</f>
        <v>0.24</v>
      </c>
      <c r="Q41" s="4">
        <f>IFERROR(__xludf.DUMMYFUNCTION("""COMPUTED_VALUE"""),124)</f>
        <v>124</v>
      </c>
      <c r="R41" s="1"/>
      <c r="S41" s="1">
        <f>IFERROR(__xludf.DUMMYFUNCTION("""COMPUTED_VALUE"""),37.2)</f>
        <v>37.2</v>
      </c>
      <c r="T41" s="1" t="str">
        <f>IFERROR(__xludf.DUMMYFUNCTION("""COMPUTED_VALUE"""),"Any nearest port")</f>
        <v>Any nearest port</v>
      </c>
      <c r="U41" s="1" t="str">
        <f>IFERROR(__xludf.DUMMYFUNCTION("""COMPUTED_VALUE"""),"22 Bolt Avenue Montague Gardens Cape Town, South Africa")</f>
        <v>22 Bolt Avenue Montague Gardens Cape Town, South Africa</v>
      </c>
      <c r="V41" s="2">
        <f>IFERROR(__xludf.DUMMYFUNCTION("""COMPUTED_VALUE"""),45475)</f>
        <v>45475</v>
      </c>
      <c r="W41" s="1"/>
      <c r="X41" s="1"/>
      <c r="Y41" s="1"/>
      <c r="Z41" s="1"/>
      <c r="AA41" s="5" t="str">
        <f t="shared" si="1"/>
        <v>ADSWB2407021/745</v>
      </c>
      <c r="AB41" s="5" t="s">
        <v>1</v>
      </c>
    </row>
    <row r="42" customHeight="1" spans="1:28">
      <c r="A42" s="1">
        <f>IFERROR(__xludf.DUMMYFUNCTION("""COMPUTED_VALUE"""),776)</f>
        <v>776</v>
      </c>
      <c r="B42" s="2">
        <f>IFERROR(__xludf.DUMMYFUNCTION("""COMPUTED_VALUE"""),45476)</f>
        <v>45476</v>
      </c>
      <c r="C42" s="1" t="str">
        <f>IFERROR(__xludf.DUMMYFUNCTION("""COMPUTED_VALUE"""),"Courtney Heather-Lunt")</f>
        <v>Courtney Heather-Lunt</v>
      </c>
      <c r="D42" s="1"/>
      <c r="E42" s="1" t="str">
        <f>IFERROR(__xludf.DUMMYFUNCTION("""COMPUTED_VALUE"""),"Sand Wax")</f>
        <v>Sand Wax</v>
      </c>
      <c r="F42" s="1" t="str">
        <f>IFERROR(__xludf.DUMMYFUNCTION("""COMPUTED_VALUE"""),"No")</f>
        <v>No</v>
      </c>
      <c r="G42" s="1" t="str">
        <f>IFERROR(__xludf.DUMMYFUNCTION("""COMPUTED_VALUE"""),"Sea")</f>
        <v>Sea</v>
      </c>
      <c r="H42" s="1" t="str">
        <f>IFERROR(__xludf.DUMMYFUNCTION("""COMPUTED_VALUE"""),"ADSWB2407021")</f>
        <v>ADSWB2407021</v>
      </c>
      <c r="I42" s="1" t="str">
        <f>IFERROR(__xludf.DUMMYFUNCTION("""COMPUTED_VALUE"""),"Our warehouse in China")</f>
        <v>Our warehouse in China</v>
      </c>
      <c r="J42" s="1" t="str">
        <f>IFERROR(__xludf.DUMMYFUNCTION("""COMPUTED_VALUE"""),"JWT0263832166")</f>
        <v>JWT0263832166</v>
      </c>
      <c r="K42" s="1"/>
      <c r="L42" s="2">
        <f>IFERROR(__xludf.DUMMYFUNCTION("""COMPUTED_VALUE"""),45474)</f>
        <v>45474</v>
      </c>
      <c r="M42" s="1" t="str">
        <f>IFERROR(__xludf.DUMMYFUNCTION("""COMPUTED_VALUE"""),"Our warehouse in China")</f>
        <v>Our warehouse in China</v>
      </c>
      <c r="N42" s="1" t="str">
        <f>IFERROR(__xludf.DUMMYFUNCTION("""COMPUTED_VALUE"""),"Box")</f>
        <v>Box</v>
      </c>
      <c r="O42" s="3">
        <f>IFERROR(__xludf.DUMMYFUNCTION("""COMPUTED_VALUE"""),2)</f>
        <v>2</v>
      </c>
      <c r="P42" s="4">
        <f>IFERROR(__xludf.DUMMYFUNCTION("""COMPUTED_VALUE"""),3.67)</f>
        <v>3.67</v>
      </c>
      <c r="Q42" s="4">
        <f>IFERROR(__xludf.DUMMYFUNCTION("""COMPUTED_VALUE"""),1007.5)</f>
        <v>1007.5</v>
      </c>
      <c r="R42" s="1"/>
      <c r="S42" s="1"/>
      <c r="T42" s="1" t="str">
        <f>IFERROR(__xludf.DUMMYFUNCTION("""COMPUTED_VALUE"""),"Any nearest port")</f>
        <v>Any nearest port</v>
      </c>
      <c r="U42" s="1" t="str">
        <f>IFERROR(__xludf.DUMMYFUNCTION("""COMPUTED_VALUE"""),"44Cradle Ridge Estate, Falls road")</f>
        <v>44Cradle Ridge Estate, Falls road</v>
      </c>
      <c r="V42" s="2">
        <f>IFERROR(__xludf.DUMMYFUNCTION("""COMPUTED_VALUE"""),45476)</f>
        <v>45476</v>
      </c>
      <c r="W42" s="1"/>
      <c r="X42" s="1"/>
      <c r="Y42" s="1"/>
      <c r="Z42" s="1"/>
      <c r="AA42" s="5" t="str">
        <f t="shared" si="1"/>
        <v>ADSWB2407021/776</v>
      </c>
      <c r="AB42" s="5" t="s">
        <v>1</v>
      </c>
    </row>
    <row r="43" customHeight="1" spans="1:28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 t="str">
        <f t="shared" si="1"/>
        <v/>
      </c>
      <c r="AB43" s="5" t="s">
        <v>1</v>
      </c>
    </row>
    <row r="44" customHeight="1" spans="1:28">
      <c r="A44" s="1">
        <f>IFERROR(__xludf.DUMMYFUNCTION("""COMPUTED_VALUE"""),656)</f>
        <v>656</v>
      </c>
      <c r="B44" s="2">
        <f>IFERROR(__xludf.DUMMYFUNCTION("""COMPUTED_VALUE"""),45415)</f>
        <v>45415</v>
      </c>
      <c r="C44" s="1" t="str">
        <f>IFERROR(__xludf.DUMMYFUNCTION("""COMPUTED_VALUE"""),"Stitched At Home Pty Ltd")</f>
        <v>Stitched At Home Pty Ltd</v>
      </c>
      <c r="D44" s="1"/>
      <c r="E44" s="1" t="str">
        <f>IFERROR(__xludf.DUMMYFUNCTION("""COMPUTED_VALUE"""),"Various Products")</f>
        <v>Various Products</v>
      </c>
      <c r="F44" s="1" t="str">
        <f>IFERROR(__xludf.DUMMYFUNCTION("""COMPUTED_VALUE"""),"No")</f>
        <v>No</v>
      </c>
      <c r="G44" s="1" t="str">
        <f>IFERROR(__xludf.DUMMYFUNCTION("""COMPUTED_VALUE"""),"Sea")</f>
        <v>Sea</v>
      </c>
      <c r="H44" s="1" t="str">
        <f>IFERROR(__xludf.DUMMYFUNCTION("""COMPUTED_VALUE"""),"ADSWB2407021")</f>
        <v>ADSWB2407021</v>
      </c>
      <c r="I44" s="1" t="str">
        <f>IFERROR(__xludf.DUMMYFUNCTION("""COMPUTED_VALUE"""),"Our warehouse in China")</f>
        <v>Our warehouse in China</v>
      </c>
      <c r="J44" s="1" t="str">
        <f>IFERROR(__xludf.DUMMYFUNCTION("""COMPUTED_VALUE"""),"JWT0263951065")</f>
        <v>JWT0263951065</v>
      </c>
      <c r="K44" s="1" t="str">
        <f>IFERROR(__xludf.DUMMYFUNCTION("""COMPUTED_VALUE"""),"188090045580")</f>
        <v>188090045580</v>
      </c>
      <c r="L44" s="2">
        <f>IFERROR(__xludf.DUMMYFUNCTION("""COMPUTED_VALUE"""),45475)</f>
        <v>45475</v>
      </c>
      <c r="M44" s="1" t="str">
        <f>IFERROR(__xludf.DUMMYFUNCTION("""COMPUTED_VALUE"""),"Yangwan Industria Zone, Qiaoxia, Yongjia, Wenzhou, Zhejiang, China")</f>
        <v>Yangwan Industria Zone, Qiaoxia, Yongjia, Wenzhou, Zhejiang, China</v>
      </c>
      <c r="N44" s="1" t="str">
        <f>IFERROR(__xludf.DUMMYFUNCTION("""COMPUTED_VALUE"""),"Box")</f>
        <v>Box</v>
      </c>
      <c r="O44" s="3">
        <f>IFERROR(__xludf.DUMMYFUNCTION("""COMPUTED_VALUE"""),2)</f>
        <v>2</v>
      </c>
      <c r="P44" s="4">
        <f>IFERROR(__xludf.DUMMYFUNCTION("""COMPUTED_VALUE"""),0.3)</f>
        <v>0.3</v>
      </c>
      <c r="Q44" s="4">
        <f>IFERROR(__xludf.DUMMYFUNCTION("""COMPUTED_VALUE"""),36.5)</f>
        <v>36.5</v>
      </c>
      <c r="R44" s="1"/>
      <c r="S44" s="1"/>
      <c r="T44" s="1" t="str">
        <f>IFERROR(__xludf.DUMMYFUNCTION("""COMPUTED_VALUE"""),"Any nearest port")</f>
        <v>Any nearest port</v>
      </c>
      <c r="U44" s="1" t="str">
        <f>IFERROR(__xludf.DUMMYFUNCTION("""COMPUTED_VALUE"""),"Germiston")</f>
        <v>Germiston</v>
      </c>
      <c r="V44" s="2">
        <f>IFERROR(__xludf.DUMMYFUNCTION("""COMPUTED_VALUE"""),45477)</f>
        <v>45477</v>
      </c>
      <c r="W44" s="1"/>
      <c r="X44" s="1"/>
      <c r="Y44" s="1"/>
      <c r="Z44" s="1"/>
      <c r="AA44" s="5" t="str">
        <f t="shared" si="1"/>
        <v>ADSWB2407021/656</v>
      </c>
      <c r="AB44" s="5" t="s">
        <v>1</v>
      </c>
    </row>
    <row r="45" customHeight="1" spans="1:28">
      <c r="A45" s="1">
        <f>IFERROR(__xludf.DUMMYFUNCTION("""COMPUTED_VALUE"""),765)</f>
        <v>765</v>
      </c>
      <c r="B45" s="2">
        <f>IFERROR(__xludf.DUMMYFUNCTION("""COMPUTED_VALUE"""),45464)</f>
        <v>45464</v>
      </c>
      <c r="C45" s="1" t="str">
        <f>IFERROR(__xludf.DUMMYFUNCTION("""COMPUTED_VALUE"""),"Sithembe Procuments")</f>
        <v>Sithembe Procuments</v>
      </c>
      <c r="D45" s="1"/>
      <c r="E45" s="1" t="str">
        <f>IFERROR(__xludf.DUMMYFUNCTION("""COMPUTED_VALUE"""),"Valves")</f>
        <v>Valves</v>
      </c>
      <c r="F45" s="1" t="str">
        <f>IFERROR(__xludf.DUMMYFUNCTION("""COMPUTED_VALUE"""),"No")</f>
        <v>No</v>
      </c>
      <c r="G45" s="1" t="str">
        <f>IFERROR(__xludf.DUMMYFUNCTION("""COMPUTED_VALUE"""),"Air")</f>
        <v>Air</v>
      </c>
      <c r="H45" s="1" t="str">
        <f>IFERROR(__xludf.DUMMYFUNCTION("""COMPUTED_VALUE"""),"ADAWB2406024")</f>
        <v>ADAWB2406024</v>
      </c>
      <c r="I45" s="1"/>
      <c r="J45" s="1" t="str">
        <f>IFERROR(__xludf.DUMMYFUNCTION("""COMPUTED_VALUE"""),"777017023625")</f>
        <v>777017023625</v>
      </c>
      <c r="K45" s="1" t="str">
        <f>IFERROR(__xludf.DUMMYFUNCTION("""COMPUTED_VALUE"""),"777017023625")</f>
        <v>777017023625</v>
      </c>
      <c r="L45" s="2">
        <f>IFERROR(__xludf.DUMMYFUNCTION("""COMPUTED_VALUE"""),45478)</f>
        <v>45478</v>
      </c>
      <c r="M45" s="1"/>
      <c r="N45" s="1" t="str">
        <f>IFERROR(__xludf.DUMMYFUNCTION("""COMPUTED_VALUE"""),"Box")</f>
        <v>Box</v>
      </c>
      <c r="O45" s="3">
        <f>IFERROR(__xludf.DUMMYFUNCTION("""COMPUTED_VALUE"""),1)</f>
        <v>1</v>
      </c>
      <c r="P45" s="4">
        <f>IFERROR(__xludf.DUMMYFUNCTION("""COMPUTED_VALUE"""),0.19)</f>
        <v>0.19</v>
      </c>
      <c r="Q45" s="4">
        <f>IFERROR(__xludf.DUMMYFUNCTION("""COMPUTED_VALUE"""),70)</f>
        <v>70</v>
      </c>
      <c r="R45" s="1" t="b">
        <f>IFERROR(__xludf.DUMMYFUNCTION("""COMPUTED_VALUE"""),TRUE)</f>
        <v>1</v>
      </c>
      <c r="S45" s="1"/>
      <c r="T45" s="1" t="str">
        <f>IFERROR(__xludf.DUMMYFUNCTION("""COMPUTED_VALUE"""),"Any nearest Port")</f>
        <v>Any nearest Port</v>
      </c>
      <c r="U45" s="1" t="str">
        <f>IFERROR(__xludf.DUMMYFUNCTION("""COMPUTED_VALUE"""),"Albarton")</f>
        <v>Albarton</v>
      </c>
      <c r="V45" s="2">
        <f>IFERROR(__xludf.DUMMYFUNCTION("""COMPUTED_VALUE"""),45497)</f>
        <v>45497</v>
      </c>
      <c r="W45" s="1"/>
      <c r="X45" s="1"/>
      <c r="Y45" s="1"/>
      <c r="Z45" s="1"/>
      <c r="AA45" s="5" t="str">
        <f t="shared" si="1"/>
        <v>ADAWB2406024/765</v>
      </c>
      <c r="AB45" s="5" t="s">
        <v>1</v>
      </c>
    </row>
    <row r="46" customHeight="1" spans="1:28">
      <c r="A46" s="1">
        <f>IFERROR(__xludf.DUMMYFUNCTION("""COMPUTED_VALUE"""),592)</f>
        <v>592</v>
      </c>
      <c r="B46" s="2">
        <f>IFERROR(__xludf.DUMMYFUNCTION("""COMPUTED_VALUE"""),45386)</f>
        <v>45386</v>
      </c>
      <c r="C46" s="1" t="str">
        <f>IFERROR(__xludf.DUMMYFUNCTION("""COMPUTED_VALUE"""),"VYKON (PTY) LTD")</f>
        <v>VYKON (PTY) LTD</v>
      </c>
      <c r="D46" s="1"/>
      <c r="E46" s="1" t="str">
        <f>IFERROR(__xludf.DUMMYFUNCTION("""COMPUTED_VALUE"""),"Steel Tubes")</f>
        <v>Steel Tubes</v>
      </c>
      <c r="F46" s="1" t="str">
        <f>IFERROR(__xludf.DUMMYFUNCTION("""COMPUTED_VALUE"""),"No")</f>
        <v>No</v>
      </c>
      <c r="G46" s="1" t="str">
        <f>IFERROR(__xludf.DUMMYFUNCTION("""COMPUTED_VALUE"""),"Sea")</f>
        <v>Sea</v>
      </c>
      <c r="H46" s="1" t="str">
        <f>IFERROR(__xludf.DUMMYFUNCTION("""COMPUTED_VALUE"""),"ADSWB2405027")</f>
        <v>ADSWB2405027</v>
      </c>
      <c r="I46" s="1"/>
      <c r="J46" s="1"/>
      <c r="K46" s="1"/>
      <c r="L46" s="2">
        <f>IFERROR(__xludf.DUMMYFUNCTION("""COMPUTED_VALUE"""),45427)</f>
        <v>45427</v>
      </c>
      <c r="M46" s="1" t="str">
        <f>IFERROR(__xludf.DUMMYFUNCTION("""COMPUTED_VALUE"""),"The first floor of Building 2, No. 6, Xinxing Yiheng Road, Baisha, Humen Town, Dongguan，Guangdong")</f>
        <v>The first floor of Building 2, No. 6, Xinxing Yiheng Road, Baisha, Humen Town, Dongguan，Guangdong</v>
      </c>
      <c r="N46" s="1" t="str">
        <f>IFERROR(__xludf.DUMMYFUNCTION("""COMPUTED_VALUE"""),"Box")</f>
        <v>Box</v>
      </c>
      <c r="O46" s="3">
        <f>IFERROR(__xludf.DUMMYFUNCTION("""COMPUTED_VALUE"""),1)</f>
        <v>1</v>
      </c>
      <c r="P46" s="4">
        <f>IFERROR(__xludf.DUMMYFUNCTION("""COMPUTED_VALUE"""),0.1)</f>
        <v>0.1</v>
      </c>
      <c r="Q46" s="4">
        <f>IFERROR(__xludf.DUMMYFUNCTION("""COMPUTED_VALUE"""),26)</f>
        <v>26</v>
      </c>
      <c r="R46" s="1"/>
      <c r="S46" s="1"/>
      <c r="T46" s="1" t="str">
        <f>IFERROR(__xludf.DUMMYFUNCTION("""COMPUTED_VALUE"""),"SHEKOU")</f>
        <v>SHEKOU</v>
      </c>
      <c r="U46" s="1" t="str">
        <f>IFERROR(__xludf.DUMMYFUNCTION("""COMPUTED_VALUE"""),"Johannesburg")</f>
        <v>Johannesburg</v>
      </c>
      <c r="V46" s="2">
        <f>IFERROR(__xludf.DUMMYFUNCTION("""COMPUTED_VALUE"""),45439)</f>
        <v>45439</v>
      </c>
      <c r="W46" s="1"/>
      <c r="X46" s="1"/>
      <c r="Y46" s="1"/>
      <c r="Z46" s="1"/>
      <c r="AA46" s="5" t="str">
        <f t="shared" si="1"/>
        <v>ADSWB2405027/592</v>
      </c>
      <c r="AB46" s="5" t="s">
        <v>1</v>
      </c>
    </row>
    <row r="47" customHeight="1" spans="1:28">
      <c r="A47" s="1">
        <f>IFERROR(__xludf.DUMMYFUNCTION("""COMPUTED_VALUE"""),573)</f>
        <v>573</v>
      </c>
      <c r="B47" s="2">
        <f>IFERROR(__xludf.DUMMYFUNCTION("""COMPUTED_VALUE"""),45372)</f>
        <v>45372</v>
      </c>
      <c r="C47" s="1" t="str">
        <f>IFERROR(__xludf.DUMMYFUNCTION("""COMPUTED_VALUE"""),"Jimmy Zinhumwe")</f>
        <v>Jimmy Zinhumwe</v>
      </c>
      <c r="D47" s="1"/>
      <c r="E47" s="1" t="str">
        <f>IFERROR(__xludf.DUMMYFUNCTION("""COMPUTED_VALUE"""),"security locks")</f>
        <v>security locks</v>
      </c>
      <c r="F47" s="1" t="str">
        <f>IFERROR(__xludf.DUMMYFUNCTION("""COMPUTED_VALUE"""),"no")</f>
        <v>no</v>
      </c>
      <c r="G47" s="1" t="str">
        <f>IFERROR(__xludf.DUMMYFUNCTION("""COMPUTED_VALUE"""),"Sea")</f>
        <v>Sea</v>
      </c>
      <c r="H47" s="1" t="str">
        <f>IFERROR(__xludf.DUMMYFUNCTION("""COMPUTED_VALUE"""),"ADSWB2405027")</f>
        <v>ADSWB2405027</v>
      </c>
      <c r="I47" s="1"/>
      <c r="J47" s="1"/>
      <c r="K47" s="1"/>
      <c r="L47" s="2">
        <f>IFERROR(__xludf.DUMMYFUNCTION("""COMPUTED_VALUE"""),45427)</f>
        <v>45427</v>
      </c>
      <c r="M47" s="1" t="str">
        <f>IFERROR(__xludf.DUMMYFUNCTION("""COMPUTED_VALUE"""),"No.17 Keyuan 3 Road, Ronggui, Shunde High-Tech Zone, Foshan City , GuangDong 528306")</f>
        <v>No.17 Keyuan 3 Road, Ronggui, Shunde High-Tech Zone, Foshan City , GuangDong 528306</v>
      </c>
      <c r="N47" s="1" t="str">
        <f>IFERROR(__xludf.DUMMYFUNCTION("""COMPUTED_VALUE"""),"Box")</f>
        <v>Box</v>
      </c>
      <c r="O47" s="3">
        <f>IFERROR(__xludf.DUMMYFUNCTION("""COMPUTED_VALUE"""),3)</f>
        <v>3</v>
      </c>
      <c r="P47" s="4">
        <f>IFERROR(__xludf.DUMMYFUNCTION("""COMPUTED_VALUE"""),0.12)</f>
        <v>0.12</v>
      </c>
      <c r="Q47" s="4">
        <f>IFERROR(__xludf.DUMMYFUNCTION("""COMPUTED_VALUE"""),28)</f>
        <v>28</v>
      </c>
      <c r="R47" s="1"/>
      <c r="S47" s="1"/>
      <c r="T47" s="1" t="str">
        <f>IFERROR(__xludf.DUMMYFUNCTION("""COMPUTED_VALUE"""),"Shenzhen")</f>
        <v>Shenzhen</v>
      </c>
      <c r="U47" s="1" t="str">
        <f>IFERROR(__xludf.DUMMYFUNCTION("""COMPUTED_VALUE"""),"Johannesburg")</f>
        <v>Johannesburg</v>
      </c>
      <c r="V47" s="2">
        <f>IFERROR(__xludf.DUMMYFUNCTION("""COMPUTED_VALUE"""),45439)</f>
        <v>45439</v>
      </c>
      <c r="W47" s="1"/>
      <c r="X47" s="1"/>
      <c r="Y47" s="1"/>
      <c r="Z47" s="1"/>
      <c r="AA47" s="5" t="str">
        <f t="shared" si="1"/>
        <v>ADSWB2405027/573</v>
      </c>
      <c r="AB47" s="5" t="s">
        <v>1</v>
      </c>
    </row>
    <row r="48" customHeight="1" spans="1:28">
      <c r="A48" s="1">
        <f>IFERROR(__xludf.DUMMYFUNCTION("""COMPUTED_VALUE"""),623)</f>
        <v>623</v>
      </c>
      <c r="B48" s="2">
        <f>IFERROR(__xludf.DUMMYFUNCTION("""COMPUTED_VALUE"""),45400)</f>
        <v>45400</v>
      </c>
      <c r="C48" s="1" t="str">
        <f>IFERROR(__xludf.DUMMYFUNCTION("""COMPUTED_VALUE"""),"LUMI")</f>
        <v>LUMI</v>
      </c>
      <c r="D48" s="1"/>
      <c r="E48" s="1" t="str">
        <f>IFERROR(__xludf.DUMMYFUNCTION("""COMPUTED_VALUE"""),"HEELS")</f>
        <v>HEELS</v>
      </c>
      <c r="F48" s="1" t="str">
        <f>IFERROR(__xludf.DUMMYFUNCTION("""COMPUTED_VALUE"""),"NO")</f>
        <v>NO</v>
      </c>
      <c r="G48" s="1" t="str">
        <f>IFERROR(__xludf.DUMMYFUNCTION("""COMPUTED_VALUE"""),"Sea")</f>
        <v>Sea</v>
      </c>
      <c r="H48" s="1" t="str">
        <f>IFERROR(__xludf.DUMMYFUNCTION("""COMPUTED_VALUE"""),"ADSWB2405027")</f>
        <v>ADSWB2405027</v>
      </c>
      <c r="I48" s="1"/>
      <c r="J48" s="1"/>
      <c r="K48" s="1"/>
      <c r="L48" s="2">
        <f>IFERROR(__xludf.DUMMYFUNCTION("""COMPUTED_VALUE"""),45427)</f>
        <v>45427</v>
      </c>
      <c r="M48" s="1"/>
      <c r="N48" s="1" t="str">
        <f>IFERROR(__xludf.DUMMYFUNCTION("""COMPUTED_VALUE"""),"Box")</f>
        <v>Box</v>
      </c>
      <c r="O48" s="3">
        <f>IFERROR(__xludf.DUMMYFUNCTION("""COMPUTED_VALUE"""),1)</f>
        <v>1</v>
      </c>
      <c r="P48" s="4">
        <f>IFERROR(__xludf.DUMMYFUNCTION("""COMPUTED_VALUE"""),0.17)</f>
        <v>0.17</v>
      </c>
      <c r="Q48" s="4">
        <f>IFERROR(__xludf.DUMMYFUNCTION("""COMPUTED_VALUE"""),17)</f>
        <v>17</v>
      </c>
      <c r="R48" s="1"/>
      <c r="S48" s="1"/>
      <c r="T48" s="1" t="str">
        <f>IFERROR(__xludf.DUMMYFUNCTION("""COMPUTED_VALUE"""),"Shekou")</f>
        <v>Shekou</v>
      </c>
      <c r="U48" s="1" t="str">
        <f>IFERROR(__xludf.DUMMYFUNCTION("""COMPUTED_VALUE"""),"JOHANNESBURG")</f>
        <v>JOHANNESBURG</v>
      </c>
      <c r="V48" s="2">
        <f>IFERROR(__xludf.DUMMYFUNCTION("""COMPUTED_VALUE"""),45439)</f>
        <v>45439</v>
      </c>
      <c r="W48" s="1"/>
      <c r="X48" s="1"/>
      <c r="Y48" s="1"/>
      <c r="Z48" s="1"/>
      <c r="AA48" s="5" t="str">
        <f t="shared" si="1"/>
        <v>ADSWB2405027/623</v>
      </c>
      <c r="AB48" s="5" t="s">
        <v>1</v>
      </c>
    </row>
    <row r="49" customHeight="1" spans="1:28">
      <c r="A49" s="1">
        <f>IFERROR(__xludf.DUMMYFUNCTION("""COMPUTED_VALUE"""),596)</f>
        <v>596</v>
      </c>
      <c r="B49" s="2">
        <f>IFERROR(__xludf.DUMMYFUNCTION("""COMPUTED_VALUE"""),45386)</f>
        <v>45386</v>
      </c>
      <c r="C49" s="1" t="str">
        <f>IFERROR(__xludf.DUMMYFUNCTION("""COMPUTED_VALUE"""),"Brad Gift Mokgalaka")</f>
        <v>Brad Gift Mokgalaka</v>
      </c>
      <c r="D49" s="1"/>
      <c r="E49" s="1" t="str">
        <f>IFERROR(__xludf.DUMMYFUNCTION("""COMPUTED_VALUE"""),"Speakers")</f>
        <v>Speakers</v>
      </c>
      <c r="F49" s="1" t="str">
        <f>IFERROR(__xludf.DUMMYFUNCTION("""COMPUTED_VALUE"""),"No")</f>
        <v>No</v>
      </c>
      <c r="G49" s="1" t="str">
        <f>IFERROR(__xludf.DUMMYFUNCTION("""COMPUTED_VALUE"""),"Sea")</f>
        <v>Sea</v>
      </c>
      <c r="H49" s="1" t="str">
        <f>IFERROR(__xludf.DUMMYFUNCTION("""COMPUTED_VALUE"""),"ADSWB2405027")</f>
        <v>ADSWB2405027</v>
      </c>
      <c r="I49" s="1"/>
      <c r="J49" s="1"/>
      <c r="K49" s="1"/>
      <c r="L49" s="2">
        <f>IFERROR(__xludf.DUMMYFUNCTION("""COMPUTED_VALUE"""),45427)</f>
        <v>45427</v>
      </c>
      <c r="M49" s="1"/>
      <c r="N49" s="1" t="str">
        <f>IFERROR(__xludf.DUMMYFUNCTION("""COMPUTED_VALUE"""),"Box")</f>
        <v>Box</v>
      </c>
      <c r="O49" s="3">
        <f>IFERROR(__xludf.DUMMYFUNCTION("""COMPUTED_VALUE"""),3)</f>
        <v>3</v>
      </c>
      <c r="P49" s="4">
        <f>IFERROR(__xludf.DUMMYFUNCTION("""COMPUTED_VALUE"""),0.2)</f>
        <v>0.2</v>
      </c>
      <c r="Q49" s="4">
        <f>IFERROR(__xludf.DUMMYFUNCTION("""COMPUTED_VALUE"""),27)</f>
        <v>27</v>
      </c>
      <c r="R49" s="1" t="b">
        <f>IFERROR(__xludf.DUMMYFUNCTION("""COMPUTED_VALUE"""),TRUE)</f>
        <v>1</v>
      </c>
      <c r="S49" s="1"/>
      <c r="T49" s="1" t="str">
        <f>IFERROR(__xludf.DUMMYFUNCTION("""COMPUTED_VALUE"""),"Shekou")</f>
        <v>Shekou</v>
      </c>
      <c r="U49" s="1" t="str">
        <f>IFERROR(__xludf.DUMMYFUNCTION("""COMPUTED_VALUE"""),"Johannesburg")</f>
        <v>Johannesburg</v>
      </c>
      <c r="V49" s="2">
        <f>IFERROR(__xludf.DUMMYFUNCTION("""COMPUTED_VALUE"""),45439)</f>
        <v>45439</v>
      </c>
      <c r="W49" s="1"/>
      <c r="X49" s="1"/>
      <c r="Y49" s="1"/>
      <c r="Z49" s="1"/>
      <c r="AA49" s="5" t="str">
        <f t="shared" si="1"/>
        <v>ADSWB2405027/596</v>
      </c>
      <c r="AB49" s="5" t="s">
        <v>1</v>
      </c>
    </row>
    <row r="50" customHeight="1" spans="1:28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 t="str">
        <f t="shared" si="1"/>
        <v/>
      </c>
      <c r="AB50" s="5" t="s">
        <v>1</v>
      </c>
    </row>
    <row r="51" customHeight="1" spans="1:28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 t="str">
        <f t="shared" si="1"/>
        <v/>
      </c>
      <c r="AB51" s="5" t="s">
        <v>1</v>
      </c>
    </row>
    <row r="52" customHeight="1" spans="1:28">
      <c r="A52" s="1">
        <f>IFERROR(__xludf.DUMMYFUNCTION("""COMPUTED_VALUE"""),699)</f>
        <v>699</v>
      </c>
      <c r="B52" s="2">
        <f>IFERROR(__xludf.DUMMYFUNCTION("""COMPUTED_VALUE"""),45439)</f>
        <v>45439</v>
      </c>
      <c r="C52" s="1" t="str">
        <f>IFERROR(__xludf.DUMMYFUNCTION("""COMPUTED_VALUE"""),"Lezahn")</f>
        <v>Lezahn</v>
      </c>
      <c r="D52" s="1"/>
      <c r="E52" s="1" t="str">
        <f>IFERROR(__xludf.DUMMYFUNCTION("""COMPUTED_VALUE"""),"Repair Waterproof Tape, Anti Slip Tape - Glow, and Butly Tape")</f>
        <v>Repair Waterproof Tape, Anti Slip Tape - Glow, and Butly Tape</v>
      </c>
      <c r="F52" s="1" t="str">
        <f>IFERROR(__xludf.DUMMYFUNCTION("""COMPUTED_VALUE"""),"No")</f>
        <v>No</v>
      </c>
      <c r="G52" s="1" t="str">
        <f>IFERROR(__xludf.DUMMYFUNCTION("""COMPUTED_VALUE"""),"Sea")</f>
        <v>Sea</v>
      </c>
      <c r="H52" s="1" t="str">
        <f>IFERROR(__xludf.DUMMYFUNCTION("""COMPUTED_VALUE"""),"ADSWB2407021")</f>
        <v>ADSWB2407021</v>
      </c>
      <c r="I52" s="1" t="str">
        <f>IFERROR(__xludf.DUMMYFUNCTION("""COMPUTED_VALUE"""),"Our warehouse in China")</f>
        <v>Our warehouse in China</v>
      </c>
      <c r="J52" s="1" t="str">
        <f>IFERROR(__xludf.DUMMYFUNCTION("""COMPUTED_VALUE"""),"JWT0263961225")</f>
        <v>JWT0263961225</v>
      </c>
      <c r="K52" s="1" t="str">
        <f>IFERROR(__xludf.DUMMYFUNCTION("""COMPUTED_VALUE"""),"KY4000497331691")</f>
        <v>KY4000497331691</v>
      </c>
      <c r="L52" s="2">
        <f>IFERROR(__xludf.DUMMYFUNCTION("""COMPUTED_VALUE"""),45478)</f>
        <v>45478</v>
      </c>
      <c r="M52" s="1" t="str">
        <f>IFERROR(__xludf.DUMMYFUNCTION("""COMPUTED_VALUE"""),"ADD: NO.11 PLANT, WUQIAO INDUSTRIAL ZONE , WEST SONGNAN RD, KUNSHAN, SUZHOU CITY, JIANGSU PROVINCE")</f>
        <v>ADD: NO.11 PLANT, WUQIAO INDUSTRIAL ZONE , WEST SONGNAN RD, KUNSHAN, SUZHOU CITY, JIANGSU PROVINCE</v>
      </c>
      <c r="N52" s="1" t="str">
        <f>IFERROR(__xludf.DUMMYFUNCTION("""COMPUTED_VALUE"""),"Box")</f>
        <v>Box</v>
      </c>
      <c r="O52" s="3">
        <f>IFERROR(__xludf.DUMMYFUNCTION("""COMPUTED_VALUE"""),1)</f>
        <v>1</v>
      </c>
      <c r="P52" s="4">
        <f>IFERROR(__xludf.DUMMYFUNCTION("""COMPUTED_VALUE"""),2.05)</f>
        <v>2.05</v>
      </c>
      <c r="Q52" s="4">
        <f>IFERROR(__xludf.DUMMYFUNCTION("""COMPUTED_VALUE"""),566.5)</f>
        <v>566.5</v>
      </c>
      <c r="R52" s="1"/>
      <c r="S52" s="1">
        <f>IFERROR(__xludf.DUMMYFUNCTION("""COMPUTED_VALUE"""),113.4)</f>
        <v>113.4</v>
      </c>
      <c r="T52" s="1" t="str">
        <f>IFERROR(__xludf.DUMMYFUNCTION("""COMPUTED_VALUE"""),"Any nearest port")</f>
        <v>Any nearest port</v>
      </c>
      <c r="U52" s="1" t="str">
        <f>IFERROR(__xludf.DUMMYFUNCTION("""COMPUTED_VALUE"""),"Cape Town")</f>
        <v>Cape Town</v>
      </c>
      <c r="V52" s="2">
        <f>IFERROR(__xludf.DUMMYFUNCTION("""COMPUTED_VALUE"""),45481)</f>
        <v>45481</v>
      </c>
      <c r="W52" s="1"/>
      <c r="X52" s="1"/>
      <c r="Y52" s="1"/>
      <c r="Z52" s="1"/>
      <c r="AA52" s="5" t="str">
        <f t="shared" si="1"/>
        <v>ADSWB2407021/699</v>
      </c>
      <c r="AB52" s="5" t="s">
        <v>1</v>
      </c>
    </row>
    <row r="53" customHeight="1" spans="1:28">
      <c r="A53" s="1">
        <f>IFERROR(__xludf.DUMMYFUNCTION("""COMPUTED_VALUE"""),656)</f>
        <v>656</v>
      </c>
      <c r="B53" s="2">
        <f>IFERROR(__xludf.DUMMYFUNCTION("""COMPUTED_VALUE"""),45415)</f>
        <v>45415</v>
      </c>
      <c r="C53" s="1" t="str">
        <f>IFERROR(__xludf.DUMMYFUNCTION("""COMPUTED_VALUE"""),"Stitched At Home Pty Ltd")</f>
        <v>Stitched At Home Pty Ltd</v>
      </c>
      <c r="D53" s="1"/>
      <c r="E53" s="1" t="str">
        <f>IFERROR(__xludf.DUMMYFUNCTION("""COMPUTED_VALUE"""),"Color Maching")</f>
        <v>Color Maching</v>
      </c>
      <c r="F53" s="1" t="str">
        <f>IFERROR(__xludf.DUMMYFUNCTION("""COMPUTED_VALUE"""),"No")</f>
        <v>No</v>
      </c>
      <c r="G53" s="1" t="str">
        <f>IFERROR(__xludf.DUMMYFUNCTION("""COMPUTED_VALUE"""),"Sea")</f>
        <v>Sea</v>
      </c>
      <c r="H53" s="1" t="str">
        <f>IFERROR(__xludf.DUMMYFUNCTION("""COMPUTED_VALUE"""),"ADSWB2407021")</f>
        <v>ADSWB2407021</v>
      </c>
      <c r="I53" s="1" t="str">
        <f>IFERROR(__xludf.DUMMYFUNCTION("""COMPUTED_VALUE"""),"Our warehouse in China")</f>
        <v>Our warehouse in China</v>
      </c>
      <c r="J53" s="1" t="str">
        <f>IFERROR(__xludf.DUMMYFUNCTION("""COMPUTED_VALUE"""),"JWT0263966690")</f>
        <v>JWT0263966690</v>
      </c>
      <c r="K53" s="1" t="str">
        <f>IFERROR(__xludf.DUMMYFUNCTION("""COMPUTED_VALUE"""),"500159633803")</f>
        <v>500159633803</v>
      </c>
      <c r="L53" s="2">
        <f>IFERROR(__xludf.DUMMYFUNCTION("""COMPUTED_VALUE"""),45478)</f>
        <v>45478</v>
      </c>
      <c r="M53" s="1" t="str">
        <f>IFERROR(__xludf.DUMMYFUNCTION("""COMPUTED_VALUE"""),"Yangwan Industria Zone, Qiaoxia, Yongjia, Wenzhou, Zhejiang, China")</f>
        <v>Yangwan Industria Zone, Qiaoxia, Yongjia, Wenzhou, Zhejiang, China</v>
      </c>
      <c r="N53" s="1" t="str">
        <f>IFERROR(__xludf.DUMMYFUNCTION("""COMPUTED_VALUE"""),"Box")</f>
        <v>Box</v>
      </c>
      <c r="O53" s="3">
        <f>IFERROR(__xludf.DUMMYFUNCTION("""COMPUTED_VALUE"""),1)</f>
        <v>1</v>
      </c>
      <c r="P53" s="4">
        <f>IFERROR(__xludf.DUMMYFUNCTION("""COMPUTED_VALUE"""),0.3)</f>
        <v>0.3</v>
      </c>
      <c r="Q53" s="4">
        <f>IFERROR(__xludf.DUMMYFUNCTION("""COMPUTED_VALUE"""),21)</f>
        <v>21</v>
      </c>
      <c r="R53" s="1"/>
      <c r="S53" s="1"/>
      <c r="T53" s="1" t="str">
        <f>IFERROR(__xludf.DUMMYFUNCTION("""COMPUTED_VALUE"""),"Any nearest port")</f>
        <v>Any nearest port</v>
      </c>
      <c r="U53" s="1" t="str">
        <f>IFERROR(__xludf.DUMMYFUNCTION("""COMPUTED_VALUE"""),"Germiston")</f>
        <v>Germiston</v>
      </c>
      <c r="V53" s="2">
        <f>IFERROR(__xludf.DUMMYFUNCTION("""COMPUTED_VALUE"""),45482)</f>
        <v>45482</v>
      </c>
      <c r="W53" s="1"/>
      <c r="X53" s="1"/>
      <c r="Y53" s="1"/>
      <c r="Z53" s="1"/>
      <c r="AA53" s="5" t="str">
        <f t="shared" si="1"/>
        <v>ADSWB2407021/656</v>
      </c>
      <c r="AB53" s="5" t="s">
        <v>1</v>
      </c>
    </row>
    <row r="54" customHeight="1" spans="1:28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 t="str">
        <f t="shared" si="1"/>
        <v/>
      </c>
      <c r="AB54" s="5" t="s">
        <v>1</v>
      </c>
    </row>
    <row r="55" customHeight="1" spans="1:28">
      <c r="A55" s="1">
        <f>IFERROR(__xludf.DUMMYFUNCTION("""COMPUTED_VALUE"""),804)</f>
        <v>804</v>
      </c>
      <c r="B55" s="2">
        <f>IFERROR(__xludf.DUMMYFUNCTION("""COMPUTED_VALUE"""),45485)</f>
        <v>45485</v>
      </c>
      <c r="C55" s="1" t="str">
        <f>IFERROR(__xludf.DUMMYFUNCTION("""COMPUTED_VALUE"""),"Karl Bulow")</f>
        <v>Karl Bulow</v>
      </c>
      <c r="D55" s="1"/>
      <c r="E55" s="1" t="str">
        <f>IFERROR(__xludf.DUMMYFUNCTION("""COMPUTED_VALUE"""),"Clothes")</f>
        <v>Clothes</v>
      </c>
      <c r="F55" s="1" t="str">
        <f>IFERROR(__xludf.DUMMYFUNCTION("""COMPUTED_VALUE"""),"No")</f>
        <v>No</v>
      </c>
      <c r="G55" s="1" t="str">
        <f>IFERROR(__xludf.DUMMYFUNCTION("""COMPUTED_VALUE"""),"Air")</f>
        <v>Air</v>
      </c>
      <c r="H55" s="1" t="str">
        <f>IFERROR(__xludf.DUMMYFUNCTION("""COMPUTED_VALUE"""),"ADAWB2407012")</f>
        <v>ADAWB2407012</v>
      </c>
      <c r="I55" s="1"/>
      <c r="J55" s="1" t="str">
        <f>IFERROR(__xludf.DUMMYFUNCTION("""COMPUTED_VALUE"""),"777353474900")</f>
        <v>777353474900</v>
      </c>
      <c r="K55" s="1" t="str">
        <f>IFERROR(__xludf.DUMMYFUNCTION("""COMPUTED_VALUE"""),"777353474900")</f>
        <v>777353474900</v>
      </c>
      <c r="L55" s="2">
        <f>IFERROR(__xludf.DUMMYFUNCTION("""COMPUTED_VALUE"""),45485)</f>
        <v>45485</v>
      </c>
      <c r="M55" s="1" t="str">
        <f>IFERROR(__xludf.DUMMYFUNCTION("""COMPUTED_VALUE"""),"Magic Silk, NY")</f>
        <v>Magic Silk, NY</v>
      </c>
      <c r="N55" s="1" t="str">
        <f>IFERROR(__xludf.DUMMYFUNCTION("""COMPUTED_VALUE"""),"Box")</f>
        <v>Box</v>
      </c>
      <c r="O55" s="3">
        <f>IFERROR(__xludf.DUMMYFUNCTION("""COMPUTED_VALUE"""),1)</f>
        <v>1</v>
      </c>
      <c r="P55" s="4">
        <f>IFERROR(__xludf.DUMMYFUNCTION("""COMPUTED_VALUE"""),0.05)</f>
        <v>0.05</v>
      </c>
      <c r="Q55" s="4">
        <f>IFERROR(__xludf.DUMMYFUNCTION("""COMPUTED_VALUE"""),10)</f>
        <v>10</v>
      </c>
      <c r="R55" s="1"/>
      <c r="S55" s="1"/>
      <c r="T55" s="1" t="str">
        <f>IFERROR(__xludf.DUMMYFUNCTION("""COMPUTED_VALUE"""),"Any nearest port")</f>
        <v>Any nearest port</v>
      </c>
      <c r="U55" s="1" t="str">
        <f>IFERROR(__xludf.DUMMYFUNCTION("""COMPUTED_VALUE"""),"Durban")</f>
        <v>Durban</v>
      </c>
      <c r="V55" s="2">
        <f>IFERROR(__xludf.DUMMYFUNCTION("""COMPUTED_VALUE"""),45485)</f>
        <v>45485</v>
      </c>
      <c r="W55" s="1" t="b">
        <f>IFERROR(__xludf.DUMMYFUNCTION("""COMPUTED_VALUE"""),TRUE)</f>
        <v>1</v>
      </c>
      <c r="X55" s="1"/>
      <c r="Y55" s="1"/>
      <c r="Z55" s="1"/>
      <c r="AA55" s="5" t="str">
        <f t="shared" si="1"/>
        <v>ADAWB2407012/804</v>
      </c>
      <c r="AB55" s="5" t="s">
        <v>1</v>
      </c>
    </row>
    <row r="56" customHeight="1" spans="1:28">
      <c r="A56" s="1">
        <f>IFERROR(__xludf.DUMMYFUNCTION("""COMPUTED_VALUE"""),616)</f>
        <v>616</v>
      </c>
      <c r="B56" s="2">
        <f>IFERROR(__xludf.DUMMYFUNCTION("""COMPUTED_VALUE"""),45454)</f>
        <v>45454</v>
      </c>
      <c r="C56" s="1" t="str">
        <f>IFERROR(__xludf.DUMMYFUNCTION("""COMPUTED_VALUE"""),"Mpumatech Stainless Tube (Pty) Ltd")</f>
        <v>Mpumatech Stainless Tube (Pty) Ltd</v>
      </c>
      <c r="D56" s="1"/>
      <c r="E56" s="1" t="str">
        <f>IFERROR(__xludf.DUMMYFUNCTION("""COMPUTED_VALUE"""),"Carbon Brushes and Springs")</f>
        <v>Carbon Brushes and Springs</v>
      </c>
      <c r="F56" s="1" t="str">
        <f>IFERROR(__xludf.DUMMYFUNCTION("""COMPUTED_VALUE"""),"No")</f>
        <v>No</v>
      </c>
      <c r="G56" s="1" t="str">
        <f>IFERROR(__xludf.DUMMYFUNCTION("""COMPUTED_VALUE"""),"Air")</f>
        <v>Air</v>
      </c>
      <c r="H56" s="1" t="str">
        <f>IFERROR(__xludf.DUMMYFUNCTION("""COMPUTED_VALUE"""),"ADAWB2407011")</f>
        <v>ADAWB2407011</v>
      </c>
      <c r="I56" s="1"/>
      <c r="J56" s="1" t="str">
        <f>IFERROR(__xludf.DUMMYFUNCTION("""COMPUTED_VALUE"""),"777335193242")</f>
        <v>777335193242</v>
      </c>
      <c r="K56" s="1" t="str">
        <f>IFERROR(__xludf.DUMMYFUNCTION("""COMPUTED_VALUE"""),"777335193242")</f>
        <v>777335193242</v>
      </c>
      <c r="L56" s="2">
        <f>IFERROR(__xludf.DUMMYFUNCTION("""COMPUTED_VALUE"""),45485)</f>
        <v>45485</v>
      </c>
      <c r="M56" s="1" t="str">
        <f>IFERROR(__xludf.DUMMYFUNCTION("""COMPUTED_VALUE"""),"44 Milkyway Avenue, Linbro Business Park, Johannesburg, South Africa")</f>
        <v>44 Milkyway Avenue, Linbro Business Park, Johannesburg, South Africa</v>
      </c>
      <c r="N56" s="1" t="str">
        <f>IFERROR(__xludf.DUMMYFUNCTION("""COMPUTED_VALUE"""),"Box")</f>
        <v>Box</v>
      </c>
      <c r="O56" s="3">
        <f>IFERROR(__xludf.DUMMYFUNCTION("""COMPUTED_VALUE"""),10)</f>
        <v>10</v>
      </c>
      <c r="P56" s="4">
        <f>IFERROR(__xludf.DUMMYFUNCTION("""COMPUTED_VALUE"""),0.02)</f>
        <v>0.02</v>
      </c>
      <c r="Q56" s="4">
        <f>IFERROR(__xludf.DUMMYFUNCTION("""COMPUTED_VALUE"""),10)</f>
        <v>10</v>
      </c>
      <c r="R56" s="1"/>
      <c r="S56" s="1"/>
      <c r="T56" s="1" t="str">
        <f>IFERROR(__xludf.DUMMYFUNCTION("""COMPUTED_VALUE"""),"OR Tambo")</f>
        <v>OR Tambo</v>
      </c>
      <c r="U56" s="1" t="str">
        <f>IFERROR(__xludf.DUMMYFUNCTION("""COMPUTED_VALUE"""),"Bamako Port (Mali)")</f>
        <v>Bamako Port (Mali)</v>
      </c>
      <c r="V56" s="2">
        <f>IFERROR(__xludf.DUMMYFUNCTION("""COMPUTED_VALUE"""),45485)</f>
        <v>45485</v>
      </c>
      <c r="W56" s="1"/>
      <c r="X56" s="1"/>
      <c r="Y56" s="1"/>
      <c r="Z56" s="1"/>
      <c r="AA56" s="5" t="str">
        <f t="shared" si="1"/>
        <v>ADAWB2407011/616</v>
      </c>
      <c r="AB56" s="5" t="s">
        <v>1</v>
      </c>
    </row>
    <row r="57" customHeight="1" spans="1:28">
      <c r="A57" s="1">
        <f>IFERROR(__xludf.DUMMYFUNCTION("""COMPUTED_VALUE"""),588)</f>
        <v>588</v>
      </c>
      <c r="B57" s="2">
        <f>IFERROR(__xludf.DUMMYFUNCTION("""COMPUTED_VALUE"""),45392)</f>
        <v>45392</v>
      </c>
      <c r="C57" s="1" t="str">
        <f>IFERROR(__xludf.DUMMYFUNCTION("""COMPUTED_VALUE"""),"Mpumatech Stainless Tube (Pty) Ltd")</f>
        <v>Mpumatech Stainless Tube (Pty) Ltd</v>
      </c>
      <c r="D57" s="1"/>
      <c r="E57" s="1" t="str">
        <f>IFERROR(__xludf.DUMMYFUNCTION("""COMPUTED_VALUE"""),"Stench gas cylinder")</f>
        <v>Stench gas cylinder</v>
      </c>
      <c r="F57" s="1" t="str">
        <f>IFERROR(__xludf.DUMMYFUNCTION("""COMPUTED_VALUE"""),"Yes")</f>
        <v>Yes</v>
      </c>
      <c r="G57" s="1" t="str">
        <f>IFERROR(__xludf.DUMMYFUNCTION("""COMPUTED_VALUE"""),"Air")</f>
        <v>Air</v>
      </c>
      <c r="H57" s="1" t="str">
        <f>IFERROR(__xludf.DUMMYFUNCTION("""COMPUTED_VALUE"""),"ADAWB2407010")</f>
        <v>ADAWB2407010</v>
      </c>
      <c r="I57" s="1"/>
      <c r="J57" s="1"/>
      <c r="K57" s="1"/>
      <c r="L57" s="2">
        <f>IFERROR(__xludf.DUMMYFUNCTION("""COMPUTED_VALUE"""),45485)</f>
        <v>45485</v>
      </c>
      <c r="M57" s="1" t="str">
        <f>IFERROR(__xludf.DUMMYFUNCTION("""COMPUTED_VALUE"""),"44 Milkyway Avenue, Linbro Business Park, Johannesburg, South Africa")</f>
        <v>44 Milkyway Avenue, Linbro Business Park, Johannesburg, South Africa</v>
      </c>
      <c r="N57" s="1"/>
      <c r="O57" s="1"/>
      <c r="P57" s="4">
        <f>IFERROR(__xludf.DUMMYFUNCTION("""COMPUTED_VALUE"""),0.04)</f>
        <v>0.04</v>
      </c>
      <c r="Q57" s="4">
        <f>IFERROR(__xludf.DUMMYFUNCTION("""COMPUTED_VALUE"""),24)</f>
        <v>24</v>
      </c>
      <c r="R57" s="1"/>
      <c r="S57" s="1"/>
      <c r="T57" s="1" t="str">
        <f>IFERROR(__xludf.DUMMYFUNCTION("""COMPUTED_VALUE"""),"OR Tambo")</f>
        <v>OR Tambo</v>
      </c>
      <c r="U57" s="1" t="str">
        <f>IFERROR(__xludf.DUMMYFUNCTION("""COMPUTED_VALUE"""),"Bamako, Mali")</f>
        <v>Bamako, Mali</v>
      </c>
      <c r="V57" s="2">
        <f>IFERROR(__xludf.DUMMYFUNCTION("""COMPUTED_VALUE"""),45485)</f>
        <v>45485</v>
      </c>
      <c r="W57" s="1"/>
      <c r="X57" s="1"/>
      <c r="Y57" s="1"/>
      <c r="Z57" s="1"/>
      <c r="AA57" s="5" t="str">
        <f t="shared" si="1"/>
        <v>ADAWB2407010/588</v>
      </c>
      <c r="AB57" s="5" t="s">
        <v>1</v>
      </c>
    </row>
    <row r="58" customHeight="1" spans="1:2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 t="str">
        <f t="shared" si="1"/>
        <v/>
      </c>
      <c r="AB58" s="5" t="s">
        <v>1</v>
      </c>
    </row>
    <row r="59" customHeight="1" spans="1:28">
      <c r="A59" s="1">
        <f>IFERROR(__xludf.DUMMYFUNCTION("""COMPUTED_VALUE"""),758)</f>
        <v>758</v>
      </c>
      <c r="B59" s="2">
        <f>IFERROR(__xludf.DUMMYFUNCTION("""COMPUTED_VALUE"""),45463)</f>
        <v>45463</v>
      </c>
      <c r="C59" s="1" t="str">
        <f>IFERROR(__xludf.DUMMYFUNCTION("""COMPUTED_VALUE"""),"Essop")</f>
        <v>Essop</v>
      </c>
      <c r="D59" s="1"/>
      <c r="E59" s="1" t="str">
        <f>IFERROR(__xludf.DUMMYFUNCTION("""COMPUTED_VALUE"""),"Textiles")</f>
        <v>Textiles</v>
      </c>
      <c r="F59" s="1" t="str">
        <f>IFERROR(__xludf.DUMMYFUNCTION("""COMPUTED_VALUE"""),"No")</f>
        <v>No</v>
      </c>
      <c r="G59" s="1" t="str">
        <f>IFERROR(__xludf.DUMMYFUNCTION("""COMPUTED_VALUE"""),"Sea")</f>
        <v>Sea</v>
      </c>
      <c r="H59" s="1" t="str">
        <f>IFERROR(__xludf.DUMMYFUNCTION("""COMPUTED_VALUE"""),"ADSWB2407021")</f>
        <v>ADSWB2407021</v>
      </c>
      <c r="I59" s="1" t="str">
        <f>IFERROR(__xludf.DUMMYFUNCTION("""COMPUTED_VALUE"""),"Our warehouse in China")</f>
        <v>Our warehouse in China</v>
      </c>
      <c r="J59" s="1" t="str">
        <f>IFERROR(__xludf.DUMMYFUNCTION("""COMPUTED_VALUE"""),"JWT0263091610")</f>
        <v>JWT0263091610</v>
      </c>
      <c r="K59" s="1"/>
      <c r="L59" s="2">
        <f>IFERROR(__xludf.DUMMYFUNCTION("""COMPUTED_VALUE"""),45486)</f>
        <v>45486</v>
      </c>
      <c r="M59" s="1" t="str">
        <f>IFERROR(__xludf.DUMMYFUNCTION("""COMPUTED_VALUE"""),"Our warehouse in China")</f>
        <v>Our warehouse in China</v>
      </c>
      <c r="N59" s="1" t="str">
        <f>IFERROR(__xludf.DUMMYFUNCTION("""COMPUTED_VALUE"""),"Box")</f>
        <v>Box</v>
      </c>
      <c r="O59" s="3">
        <f>IFERROR(__xludf.DUMMYFUNCTION("""COMPUTED_VALUE"""),26)</f>
        <v>26</v>
      </c>
      <c r="P59" s="4">
        <f>IFERROR(__xludf.DUMMYFUNCTION("""COMPUTED_VALUE"""),6.65)</f>
        <v>6.65</v>
      </c>
      <c r="Q59" s="4">
        <f>IFERROR(__xludf.DUMMYFUNCTION("""COMPUTED_VALUE"""),551)</f>
        <v>551</v>
      </c>
      <c r="R59" s="1" t="b">
        <f>IFERROR(__xludf.DUMMYFUNCTION("""COMPUTED_VALUE"""),TRUE)</f>
        <v>1</v>
      </c>
      <c r="S59" s="1">
        <f>IFERROR(__xludf.DUMMYFUNCTION("""COMPUTED_VALUE"""),30)</f>
        <v>30</v>
      </c>
      <c r="T59" s="1" t="str">
        <f>IFERROR(__xludf.DUMMYFUNCTION("""COMPUTED_VALUE"""),"Any nearest port")</f>
        <v>Any nearest port</v>
      </c>
      <c r="U59" s="1" t="str">
        <f>IFERROR(__xludf.DUMMYFUNCTION("""COMPUTED_VALUE"""),"96 5th ave Mayfair  Johannesburg  South africa  2092")</f>
        <v>96 5th ave Mayfair  Johannesburg  South africa  2092</v>
      </c>
      <c r="V59" s="2">
        <f>IFERROR(__xludf.DUMMYFUNCTION("""COMPUTED_VALUE"""),45488)</f>
        <v>45488</v>
      </c>
      <c r="W59" s="1"/>
      <c r="X59" s="1"/>
      <c r="Y59" s="1"/>
      <c r="Z59" s="1"/>
      <c r="AA59" s="5" t="str">
        <f t="shared" si="1"/>
        <v>ADSWB2407021/758</v>
      </c>
      <c r="AB59" s="5" t="s">
        <v>1</v>
      </c>
    </row>
    <row r="60" customHeight="1" spans="1:28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 t="str">
        <f t="shared" si="1"/>
        <v/>
      </c>
      <c r="AB60" s="5" t="s">
        <v>1</v>
      </c>
    </row>
    <row r="61" customHeight="1" spans="1:28">
      <c r="A61" s="1">
        <f>IFERROR(__xludf.DUMMYFUNCTION("""COMPUTED_VALUE"""),665)</f>
        <v>665</v>
      </c>
      <c r="B61" s="2">
        <f>IFERROR(__xludf.DUMMYFUNCTION("""COMPUTED_VALUE"""),45420)</f>
        <v>45420</v>
      </c>
      <c r="C61" s="1" t="str">
        <f>IFERROR(__xludf.DUMMYFUNCTION("""COMPUTED_VALUE"""),"Brandon")</f>
        <v>Brandon</v>
      </c>
      <c r="D61" s="1"/>
      <c r="E61" s="1" t="str">
        <f>IFERROR(__xludf.DUMMYFUNCTION("""COMPUTED_VALUE"""),"Double Temperature Freezer with digital display")</f>
        <v>Double Temperature Freezer with digital display</v>
      </c>
      <c r="F61" s="1" t="str">
        <f>IFERROR(__xludf.DUMMYFUNCTION("""COMPUTED_VALUE"""),"No")</f>
        <v>No</v>
      </c>
      <c r="G61" s="1" t="str">
        <f>IFERROR(__xludf.DUMMYFUNCTION("""COMPUTED_VALUE"""),"Sea")</f>
        <v>Sea</v>
      </c>
      <c r="H61" s="1" t="str">
        <f>IFERROR(__xludf.DUMMYFUNCTION("""COMPUTED_VALUE"""),"ADSWB2407021")</f>
        <v>ADSWB2407021</v>
      </c>
      <c r="I61" s="1" t="str">
        <f>IFERROR(__xludf.DUMMYFUNCTION("""COMPUTED_VALUE"""),"Our warehouse in China")</f>
        <v>Our warehouse in China</v>
      </c>
      <c r="J61" s="1" t="str">
        <f>IFERROR(__xludf.DUMMYFUNCTION("""COMPUTED_VALUE"""),"JWT0263814258")</f>
        <v>JWT0263814258</v>
      </c>
      <c r="K61" s="1" t="str">
        <f>IFERROR(__xludf.DUMMYFUNCTION("""COMPUTED_VALUE"""),"KY400044442891")</f>
        <v>KY400044442891</v>
      </c>
      <c r="L61" s="2">
        <f>IFERROR(__xludf.DUMMYFUNCTION("""COMPUTED_VALUE"""),45488)</f>
        <v>45488</v>
      </c>
      <c r="M61" s="1" t="str">
        <f>IFERROR(__xludf.DUMMYFUNCTION("""COMPUTED_VALUE"""),"Huzhou Jinpeng Industrial Park, Juka Solar Energy Technology Co., Ltd., No. 79, Ganshan Leshan Street, Zhongguan Town, Deqing County, Huzhou City")</f>
        <v>Huzhou Jinpeng Industrial Park, Juka Solar Energy Technology Co., Ltd., No. 79, Ganshan Leshan Street, Zhongguan Town, Deqing County, Huzhou City</v>
      </c>
      <c r="N61" s="1" t="str">
        <f>IFERROR(__xludf.DUMMYFUNCTION("""COMPUTED_VALUE"""),"Box")</f>
        <v>Box</v>
      </c>
      <c r="O61" s="3">
        <f>IFERROR(__xludf.DUMMYFUNCTION("""COMPUTED_VALUE"""),5)</f>
        <v>5</v>
      </c>
      <c r="P61" s="4">
        <f>IFERROR(__xludf.DUMMYFUNCTION("""COMPUTED_VALUE"""),3.15)</f>
        <v>3.15</v>
      </c>
      <c r="Q61" s="4">
        <f>IFERROR(__xludf.DUMMYFUNCTION("""COMPUTED_VALUE"""),250)</f>
        <v>250</v>
      </c>
      <c r="R61" s="1" t="b">
        <f>IFERROR(__xludf.DUMMYFUNCTION("""COMPUTED_VALUE"""),TRUE)</f>
        <v>1</v>
      </c>
      <c r="S61" s="1">
        <f>IFERROR(__xludf.DUMMYFUNCTION("""COMPUTED_VALUE"""),108)</f>
        <v>108</v>
      </c>
      <c r="T61" s="1" t="str">
        <f>IFERROR(__xludf.DUMMYFUNCTION("""COMPUTED_VALUE"""),"Any nearest port")</f>
        <v>Any nearest port</v>
      </c>
      <c r="U61" s="1" t="str">
        <f>IFERROR(__xludf.DUMMYFUNCTION("""COMPUTED_VALUE"""),"Johannesburg")</f>
        <v>Johannesburg</v>
      </c>
      <c r="V61" s="2">
        <f>IFERROR(__xludf.DUMMYFUNCTION("""COMPUTED_VALUE"""),45488)</f>
        <v>45488</v>
      </c>
      <c r="W61" s="1"/>
      <c r="X61" s="1"/>
      <c r="Y61" s="1"/>
      <c r="Z61" s="1"/>
      <c r="AA61" s="5" t="str">
        <f t="shared" si="1"/>
        <v>ADSWB2407021/665</v>
      </c>
      <c r="AB61" s="5" t="s">
        <v>1</v>
      </c>
    </row>
    <row r="62" customHeight="1" spans="1:28">
      <c r="A62" s="1">
        <f>IFERROR(__xludf.DUMMYFUNCTION("""COMPUTED_VALUE"""),787)</f>
        <v>787</v>
      </c>
      <c r="B62" s="2">
        <f>IFERROR(__xludf.DUMMYFUNCTION("""COMPUTED_VALUE"""),45481)</f>
        <v>45481</v>
      </c>
      <c r="C62" s="1" t="str">
        <f>IFERROR(__xludf.DUMMYFUNCTION("""COMPUTED_VALUE"""),"Bison Rigging")</f>
        <v>Bison Rigging</v>
      </c>
      <c r="D62" s="1"/>
      <c r="E62" s="1" t="str">
        <f>IFERROR(__xludf.DUMMYFUNCTION("""COMPUTED_VALUE"""),"Mattress")</f>
        <v>Mattress</v>
      </c>
      <c r="F62" s="1" t="str">
        <f>IFERROR(__xludf.DUMMYFUNCTION("""COMPUTED_VALUE"""),"NO")</f>
        <v>NO</v>
      </c>
      <c r="G62" s="1" t="str">
        <f>IFERROR(__xludf.DUMMYFUNCTION("""COMPUTED_VALUE"""),"Sea")</f>
        <v>Sea</v>
      </c>
      <c r="H62" s="1" t="str">
        <f>IFERROR(__xludf.DUMMYFUNCTION("""COMPUTED_VALUE"""),"ADSWB2407021")</f>
        <v>ADSWB2407021</v>
      </c>
      <c r="I62" s="1" t="str">
        <f>IFERROR(__xludf.DUMMYFUNCTION("""COMPUTED_VALUE"""),"Our warehouse in China")</f>
        <v>Our warehouse in China</v>
      </c>
      <c r="J62" s="1" t="str">
        <f>IFERROR(__xludf.DUMMYFUNCTION("""COMPUTED_VALUE"""),"JWT0263278506")</f>
        <v>JWT0263278506</v>
      </c>
      <c r="K62" s="1" t="str">
        <f>IFERROR(__xludf.DUMMYFUNCTION("""COMPUTED_VALUE"""),"S61138627385")</f>
        <v>S61138627385</v>
      </c>
      <c r="L62" s="2">
        <f>IFERROR(__xludf.DUMMYFUNCTION("""COMPUTED_VALUE"""),45486)</f>
        <v>45486</v>
      </c>
      <c r="M62" s="1" t="str">
        <f>IFERROR(__xludf.DUMMYFUNCTION("""COMPUTED_VALUE"""),"Our warehouse in China")</f>
        <v>Our warehouse in China</v>
      </c>
      <c r="N62" s="1" t="str">
        <f>IFERROR(__xludf.DUMMYFUNCTION("""COMPUTED_VALUE"""),"Box")</f>
        <v>Box</v>
      </c>
      <c r="O62" s="3">
        <f>IFERROR(__xludf.DUMMYFUNCTION("""COMPUTED_VALUE"""),1)</f>
        <v>1</v>
      </c>
      <c r="P62" s="4">
        <f>IFERROR(__xludf.DUMMYFUNCTION("""COMPUTED_VALUE"""),0.52)</f>
        <v>0.52</v>
      </c>
      <c r="Q62" s="4">
        <f>IFERROR(__xludf.DUMMYFUNCTION("""COMPUTED_VALUE"""),24)</f>
        <v>24</v>
      </c>
      <c r="R62" s="1"/>
      <c r="S62" s="1"/>
      <c r="T62" s="1" t="str">
        <f>IFERROR(__xludf.DUMMYFUNCTION("""COMPUTED_VALUE"""),"Shekou")</f>
        <v>Shekou</v>
      </c>
      <c r="U62" s="1" t="str">
        <f>IFERROR(__xludf.DUMMYFUNCTION("""COMPUTED_VALUE"""),"Durban")</f>
        <v>Durban</v>
      </c>
      <c r="V62" s="2">
        <f>IFERROR(__xludf.DUMMYFUNCTION("""COMPUTED_VALUE"""),45488)</f>
        <v>45488</v>
      </c>
      <c r="W62" s="1"/>
      <c r="X62" s="1"/>
      <c r="Y62" s="1"/>
      <c r="Z62" s="1"/>
      <c r="AA62" s="5" t="str">
        <f t="shared" si="1"/>
        <v>ADSWB2407021/787</v>
      </c>
      <c r="AB62" s="5" t="s">
        <v>1</v>
      </c>
    </row>
    <row r="63" customHeight="1" spans="1:28">
      <c r="A63" s="1">
        <f>IFERROR(__xludf.DUMMYFUNCTION("""COMPUTED_VALUE"""),748)</f>
        <v>748</v>
      </c>
      <c r="B63" s="2">
        <f>IFERROR(__xludf.DUMMYFUNCTION("""COMPUTED_VALUE"""),45462)</f>
        <v>45462</v>
      </c>
      <c r="C63" s="1" t="str">
        <f>IFERROR(__xludf.DUMMYFUNCTION("""COMPUTED_VALUE"""),"Motlatso")</f>
        <v>Motlatso</v>
      </c>
      <c r="D63" s="1"/>
      <c r="E63" s="1" t="str">
        <f>IFERROR(__xludf.DUMMYFUNCTION("""COMPUTED_VALUE"""),"Tags")</f>
        <v>Tags</v>
      </c>
      <c r="F63" s="1" t="str">
        <f>IFERROR(__xludf.DUMMYFUNCTION("""COMPUTED_VALUE"""),"No")</f>
        <v>No</v>
      </c>
      <c r="G63" s="1" t="str">
        <f>IFERROR(__xludf.DUMMYFUNCTION("""COMPUTED_VALUE"""),"Sea")</f>
        <v>Sea</v>
      </c>
      <c r="H63" s="1" t="str">
        <f>IFERROR(__xludf.DUMMYFUNCTION("""COMPUTED_VALUE"""),"ADSWB2407021")</f>
        <v>ADSWB2407021</v>
      </c>
      <c r="I63" s="1" t="str">
        <f>IFERROR(__xludf.DUMMYFUNCTION("""COMPUTED_VALUE"""),"Our warehouse in china")</f>
        <v>Our warehouse in china</v>
      </c>
      <c r="J63" s="1" t="str">
        <f>IFERROR(__xludf.DUMMYFUNCTION("""COMPUTED_VALUE"""),"JWT0263761104")</f>
        <v>JWT0263761104</v>
      </c>
      <c r="K63" s="1" t="str">
        <f>IFERROR(__xludf.DUMMYFUNCTION("""COMPUTED_VALUE"""),"610034026260")</f>
        <v>610034026260</v>
      </c>
      <c r="L63" s="2">
        <f>IFERROR(__xludf.DUMMYFUNCTION("""COMPUTED_VALUE"""),45491)</f>
        <v>45491</v>
      </c>
      <c r="M63" s="1" t="str">
        <f>IFERROR(__xludf.DUMMYFUNCTION("""COMPUTED_VALUE"""),"Binzhou city , Shandong province")</f>
        <v>Binzhou city , Shandong province</v>
      </c>
      <c r="N63" s="1" t="str">
        <f>IFERROR(__xludf.DUMMYFUNCTION("""COMPUTED_VALUE"""),"Box")</f>
        <v>Box</v>
      </c>
      <c r="O63" s="3">
        <f>IFERROR(__xludf.DUMMYFUNCTION("""COMPUTED_VALUE"""),100)</f>
        <v>100</v>
      </c>
      <c r="P63" s="4">
        <f>IFERROR(__xludf.DUMMYFUNCTION("""COMPUTED_VALUE"""),6.1)</f>
        <v>6.1</v>
      </c>
      <c r="Q63" s="4">
        <f>IFERROR(__xludf.DUMMYFUNCTION("""COMPUTED_VALUE"""),500)</f>
        <v>500</v>
      </c>
      <c r="R63" s="1"/>
      <c r="S63" s="1"/>
      <c r="T63" s="1" t="str">
        <f>IFERROR(__xludf.DUMMYFUNCTION("""COMPUTED_VALUE"""),"Any nearest port")</f>
        <v>Any nearest port</v>
      </c>
      <c r="U63" s="1" t="str">
        <f>IFERROR(__xludf.DUMMYFUNCTION("""COMPUTED_VALUE"""),"My receiving address: 1720 Mashabela Street, Vosloorus, Boksburg City,  Gauteng Province, South Africa, 1475")</f>
        <v>My receiving address: 1720 Mashabela Street, Vosloorus, Boksburg City,  Gauteng Province, South Africa, 1475</v>
      </c>
      <c r="V63" s="2">
        <f>IFERROR(__xludf.DUMMYFUNCTION("""COMPUTED_VALUE"""),45490)</f>
        <v>45490</v>
      </c>
      <c r="W63" s="1"/>
      <c r="X63" s="1"/>
      <c r="Y63" s="1"/>
      <c r="Z63" s="1"/>
      <c r="AA63" s="5" t="str">
        <f t="shared" si="1"/>
        <v>ADSWB2407021/748</v>
      </c>
      <c r="AB63" s="5" t="s">
        <v>1</v>
      </c>
    </row>
    <row r="64" customHeight="1" spans="1:28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 t="str">
        <f t="shared" si="1"/>
        <v/>
      </c>
      <c r="AB64" s="5" t="s">
        <v>1</v>
      </c>
    </row>
    <row r="65" customHeight="1" spans="1:28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 t="str">
        <f t="shared" si="1"/>
        <v/>
      </c>
      <c r="AB65" s="5" t="s">
        <v>1</v>
      </c>
    </row>
    <row r="66" customHeight="1" spans="1:28">
      <c r="A66" s="1">
        <f>IFERROR(__xludf.DUMMYFUNCTION("""COMPUTED_VALUE"""),831)</f>
        <v>831</v>
      </c>
      <c r="B66" s="2">
        <f>IFERROR(__xludf.DUMMYFUNCTION("""COMPUTED_VALUE"""),45495)</f>
        <v>45495</v>
      </c>
      <c r="C66" s="1" t="str">
        <f>IFERROR(__xludf.DUMMYFUNCTION("""COMPUTED_VALUE"""),"Simweetwa Muchindu")</f>
        <v>Simweetwa Muchindu</v>
      </c>
      <c r="D66" s="1"/>
      <c r="E66" s="1" t="str">
        <f>IFERROR(__xludf.DUMMYFUNCTION("""COMPUTED_VALUE"""),"Handbags")</f>
        <v>Handbags</v>
      </c>
      <c r="F66" s="1" t="str">
        <f>IFERROR(__xludf.DUMMYFUNCTION("""COMPUTED_VALUE"""),"No")</f>
        <v>No</v>
      </c>
      <c r="G66" s="1" t="str">
        <f>IFERROR(__xludf.DUMMYFUNCTION("""COMPUTED_VALUE"""),"Sea")</f>
        <v>Sea</v>
      </c>
      <c r="H66" s="1" t="str">
        <f>IFERROR(__xludf.DUMMYFUNCTION("""COMPUTED_VALUE"""),"ADSWB2407021")</f>
        <v>ADSWB2407021</v>
      </c>
      <c r="I66" s="1" t="str">
        <f>IFERROR(__xludf.DUMMYFUNCTION("""COMPUTED_VALUE"""),"Our warehouse in China")</f>
        <v>Our warehouse in China</v>
      </c>
      <c r="J66" s="1" t="str">
        <f>IFERROR(__xludf.DUMMYFUNCTION("""COMPUTED_VALUE"""),"JWT0263683365")</f>
        <v>JWT0263683365</v>
      </c>
      <c r="K66" s="1" t="str">
        <f>IFERROR(__xludf.DUMMYFUNCTION("""COMPUTED_VALUE"""),"621144921576691")</f>
        <v>621144921576691</v>
      </c>
      <c r="L66" s="2">
        <f>IFERROR(__xludf.DUMMYFUNCTION("""COMPUTED_VALUE"""),45492)</f>
        <v>45492</v>
      </c>
      <c r="M66" s="1" t="str">
        <f>IFERROR(__xludf.DUMMYFUNCTION("""COMPUTED_VALUE"""),"Our warehouse in China")</f>
        <v>Our warehouse in China</v>
      </c>
      <c r="N66" s="1" t="str">
        <f>IFERROR(__xludf.DUMMYFUNCTION("""COMPUTED_VALUE"""),"Bag")</f>
        <v>Bag</v>
      </c>
      <c r="O66" s="3">
        <f>IFERROR(__xludf.DUMMYFUNCTION("""COMPUTED_VALUE"""),2)</f>
        <v>2</v>
      </c>
      <c r="P66" s="4">
        <f>IFERROR(__xludf.DUMMYFUNCTION("""COMPUTED_VALUE"""),0.13)</f>
        <v>0.13</v>
      </c>
      <c r="Q66" s="4">
        <f>IFERROR(__xludf.DUMMYFUNCTION("""COMPUTED_VALUE"""),12)</f>
        <v>12</v>
      </c>
      <c r="R66" s="1"/>
      <c r="S66" s="1"/>
      <c r="T66" s="1" t="str">
        <f>IFERROR(__xludf.DUMMYFUNCTION("""COMPUTED_VALUE"""),"Any nearest port")</f>
        <v>Any nearest port</v>
      </c>
      <c r="U66" s="1" t="str">
        <f>IFERROR(__xludf.DUMMYFUNCTION("""COMPUTED_VALUE"""),"Johannesburg")</f>
        <v>Johannesburg</v>
      </c>
      <c r="V66" s="2">
        <f>IFERROR(__xludf.DUMMYFUNCTION("""COMPUTED_VALUE"""),45495)</f>
        <v>45495</v>
      </c>
      <c r="W66" s="1"/>
      <c r="X66" s="1"/>
      <c r="Y66" s="1"/>
      <c r="Z66" s="1"/>
      <c r="AA66" s="5" t="str">
        <f t="shared" si="1"/>
        <v>ADSWB2407021/831</v>
      </c>
      <c r="AB66" s="5" t="s">
        <v>1</v>
      </c>
    </row>
    <row r="67" customHeight="1" spans="1:28">
      <c r="A67" s="1">
        <f>IFERROR(__xludf.DUMMYFUNCTION("""COMPUTED_VALUE"""),832)</f>
        <v>832</v>
      </c>
      <c r="B67" s="2">
        <f>IFERROR(__xludf.DUMMYFUNCTION("""COMPUTED_VALUE"""),45495)</f>
        <v>45495</v>
      </c>
      <c r="C67" s="1" t="str">
        <f>IFERROR(__xludf.DUMMYFUNCTION("""COMPUTED_VALUE"""),"Simweetwa Muchindu")</f>
        <v>Simweetwa Muchindu</v>
      </c>
      <c r="D67" s="1"/>
      <c r="E67" s="1" t="str">
        <f>IFERROR(__xludf.DUMMYFUNCTION("""COMPUTED_VALUE"""),"Various goods")</f>
        <v>Various goods</v>
      </c>
      <c r="F67" s="1" t="str">
        <f>IFERROR(__xludf.DUMMYFUNCTION("""COMPUTED_VALUE"""),"No")</f>
        <v>No</v>
      </c>
      <c r="G67" s="1" t="str">
        <f>IFERROR(__xludf.DUMMYFUNCTION("""COMPUTED_VALUE"""),"Sea")</f>
        <v>Sea</v>
      </c>
      <c r="H67" s="1" t="str">
        <f>IFERROR(__xludf.DUMMYFUNCTION("""COMPUTED_VALUE"""),"ADSWB2407021")</f>
        <v>ADSWB2407021</v>
      </c>
      <c r="I67" s="1" t="str">
        <f>IFERROR(__xludf.DUMMYFUNCTION("""COMPUTED_VALUE"""),"Our warehouse in China")</f>
        <v>Our warehouse in China</v>
      </c>
      <c r="J67" s="1" t="str">
        <f>IFERROR(__xludf.DUMMYFUNCTION("""COMPUTED_VALUE"""),"JWT0263108284")</f>
        <v>JWT0263108284</v>
      </c>
      <c r="K67" s="1" t="str">
        <f>IFERROR(__xludf.DUMMYFUNCTION("""COMPUTED_VALUE"""),"621144962543315")</f>
        <v>621144962543315</v>
      </c>
      <c r="L67" s="2">
        <f>IFERROR(__xludf.DUMMYFUNCTION("""COMPUTED_VALUE"""),45492)</f>
        <v>45492</v>
      </c>
      <c r="M67" s="1" t="str">
        <f>IFERROR(__xludf.DUMMYFUNCTION("""COMPUTED_VALUE"""),"Our warehouse in China")</f>
        <v>Our warehouse in China</v>
      </c>
      <c r="N67" s="1" t="str">
        <f>IFERROR(__xludf.DUMMYFUNCTION("""COMPUTED_VALUE"""),"Box")</f>
        <v>Box</v>
      </c>
      <c r="O67" s="3">
        <f>IFERROR(__xludf.DUMMYFUNCTION("""COMPUTED_VALUE"""),3)</f>
        <v>3</v>
      </c>
      <c r="P67" s="4">
        <f>IFERROR(__xludf.DUMMYFUNCTION("""COMPUTED_VALUE"""),0.14)</f>
        <v>0.14</v>
      </c>
      <c r="Q67" s="4">
        <f>IFERROR(__xludf.DUMMYFUNCTION("""COMPUTED_VALUE"""),27)</f>
        <v>27</v>
      </c>
      <c r="R67" s="1"/>
      <c r="S67" s="1"/>
      <c r="T67" s="1" t="str">
        <f>IFERROR(__xludf.DUMMYFUNCTION("""COMPUTED_VALUE"""),"Any nearest port")</f>
        <v>Any nearest port</v>
      </c>
      <c r="U67" s="1" t="str">
        <f>IFERROR(__xludf.DUMMYFUNCTION("""COMPUTED_VALUE"""),"Johannesburg")</f>
        <v>Johannesburg</v>
      </c>
      <c r="V67" s="2">
        <f>IFERROR(__xludf.DUMMYFUNCTION("""COMPUTED_VALUE"""),45495)</f>
        <v>45495</v>
      </c>
      <c r="W67" s="1"/>
      <c r="X67" s="1"/>
      <c r="Y67" s="1"/>
      <c r="Z67" s="1"/>
      <c r="AA67" s="5" t="str">
        <f t="shared" si="1"/>
        <v>ADSWB2407021/832</v>
      </c>
      <c r="AB67" s="5" t="s">
        <v>1</v>
      </c>
    </row>
    <row r="68" customHeight="1" spans="1:28">
      <c r="A68" s="1">
        <f>IFERROR(__xludf.DUMMYFUNCTION("""COMPUTED_VALUE"""),834)</f>
        <v>834</v>
      </c>
      <c r="B68" s="2">
        <f>IFERROR(__xludf.DUMMYFUNCTION("""COMPUTED_VALUE"""),45496)</f>
        <v>45496</v>
      </c>
      <c r="C68" s="1" t="str">
        <f>IFERROR(__xludf.DUMMYFUNCTION("""COMPUTED_VALUE"""),"VYKON (PTY) LTD")</f>
        <v>VYKON (PTY) LTD</v>
      </c>
      <c r="D68" s="1"/>
      <c r="E68" s="1" t="str">
        <f>IFERROR(__xludf.DUMMYFUNCTION("""COMPUTED_VALUE"""),"Steel Pipes")</f>
        <v>Steel Pipes</v>
      </c>
      <c r="F68" s="1" t="str">
        <f>IFERROR(__xludf.DUMMYFUNCTION("""COMPUTED_VALUE"""),"No")</f>
        <v>No</v>
      </c>
      <c r="G68" s="1" t="str">
        <f>IFERROR(__xludf.DUMMYFUNCTION("""COMPUTED_VALUE"""),"Sea")</f>
        <v>Sea</v>
      </c>
      <c r="H68" s="1" t="str">
        <f>IFERROR(__xludf.DUMMYFUNCTION("""COMPUTED_VALUE"""),"ADSWB2407021")</f>
        <v>ADSWB2407021</v>
      </c>
      <c r="I68" s="1" t="str">
        <f>IFERROR(__xludf.DUMMYFUNCTION("""COMPUTED_VALUE"""),"Our warehouse in China")</f>
        <v>Our warehouse in China</v>
      </c>
      <c r="J68" s="1" t="str">
        <f>IFERROR(__xludf.DUMMYFUNCTION("""COMPUTED_VALUE"""),"JWT0263814258")</f>
        <v>JWT0263814258</v>
      </c>
      <c r="K68" s="1"/>
      <c r="L68" s="2">
        <f>IFERROR(__xludf.DUMMYFUNCTION("""COMPUTED_VALUE"""),45490)</f>
        <v>45490</v>
      </c>
      <c r="M68" s="1" t="str">
        <f>IFERROR(__xludf.DUMMYFUNCTION("""COMPUTED_VALUE"""),"Our warehouse in China")</f>
        <v>Our warehouse in China</v>
      </c>
      <c r="N68" s="1" t="str">
        <f>IFERROR(__xludf.DUMMYFUNCTION("""COMPUTED_VALUE"""),"Box")</f>
        <v>Box</v>
      </c>
      <c r="O68" s="3">
        <f>IFERROR(__xludf.DUMMYFUNCTION("""COMPUTED_VALUE"""),1)</f>
        <v>1</v>
      </c>
      <c r="P68" s="4">
        <f>IFERROR(__xludf.DUMMYFUNCTION("""COMPUTED_VALUE"""),0.58)</f>
        <v>0.58</v>
      </c>
      <c r="Q68" s="4">
        <f>IFERROR(__xludf.DUMMYFUNCTION("""COMPUTED_VALUE"""),161)</f>
        <v>161</v>
      </c>
      <c r="R68" s="1"/>
      <c r="S68" s="1"/>
      <c r="T68" s="1" t="str">
        <f>IFERROR(__xludf.DUMMYFUNCTION("""COMPUTED_VALUE"""),"Any nearest port")</f>
        <v>Any nearest port</v>
      </c>
      <c r="U68" s="1" t="str">
        <f>IFERROR(__xludf.DUMMYFUNCTION("""COMPUTED_VALUE"""),"Centurion")</f>
        <v>Centurion</v>
      </c>
      <c r="V68" s="2">
        <f>IFERROR(__xludf.DUMMYFUNCTION("""COMPUTED_VALUE"""),45496)</f>
        <v>45496</v>
      </c>
      <c r="W68" s="1"/>
      <c r="X68" s="1">
        <f>IFERROR(__xludf.DUMMYFUNCTION("""COMPUTED_VALUE"""),1.3)</f>
        <v>1.3</v>
      </c>
      <c r="Y68" s="1"/>
      <c r="Z68" s="1"/>
      <c r="AA68" s="5" t="str">
        <f t="shared" si="1"/>
        <v>ADSWB2407021/834</v>
      </c>
      <c r="AB68" s="5" t="s">
        <v>1</v>
      </c>
    </row>
    <row r="69" customHeight="1" spans="1:28">
      <c r="A69" s="1">
        <f>IFERROR(__xludf.DUMMYFUNCTION("""COMPUTED_VALUE"""),823)</f>
        <v>823</v>
      </c>
      <c r="B69" s="2">
        <f>IFERROR(__xludf.DUMMYFUNCTION("""COMPUTED_VALUE"""),45490)</f>
        <v>45490</v>
      </c>
      <c r="C69" s="1" t="str">
        <f>IFERROR(__xludf.DUMMYFUNCTION("""COMPUTED_VALUE"""),"Hydrafix")</f>
        <v>Hydrafix</v>
      </c>
      <c r="D69" s="1"/>
      <c r="E69" s="1" t="str">
        <f>IFERROR(__xludf.DUMMYFUNCTION("""COMPUTED_VALUE"""),"Hydraulic")</f>
        <v>Hydraulic</v>
      </c>
      <c r="F69" s="1" t="str">
        <f>IFERROR(__xludf.DUMMYFUNCTION("""COMPUTED_VALUE"""),"No")</f>
        <v>No</v>
      </c>
      <c r="G69" s="1" t="str">
        <f>IFERROR(__xludf.DUMMYFUNCTION("""COMPUTED_VALUE"""),"Sea")</f>
        <v>Sea</v>
      </c>
      <c r="H69" s="1" t="str">
        <f>IFERROR(__xludf.DUMMYFUNCTION("""COMPUTED_VALUE"""),"ADSWB")</f>
        <v>ADSWB</v>
      </c>
      <c r="I69" s="1" t="str">
        <f>IFERROR(__xludf.DUMMYFUNCTION("""COMPUTED_VALUE"""),"Our warehouse in China")</f>
        <v>Our warehouse in China</v>
      </c>
      <c r="J69" s="1" t="str">
        <f>IFERROR(__xludf.DUMMYFUNCTION("""COMPUTED_VALUE"""),"JWT026376920")</f>
        <v>JWT026376920</v>
      </c>
      <c r="K69" s="1"/>
      <c r="L69" s="2">
        <f>IFERROR(__xludf.DUMMYFUNCTION("""COMPUTED_VALUE"""),45497)</f>
        <v>45497</v>
      </c>
      <c r="M69" s="1" t="str">
        <f>IFERROR(__xludf.DUMMYFUNCTION("""COMPUTED_VALUE"""),"No.96 Lingyun Road  High New Tech Zone  Jining City   Shandong Province China")</f>
        <v>No.96 Lingyun Road  High New Tech Zone  Jining City   Shandong Province China</v>
      </c>
      <c r="N69" s="1" t="str">
        <f>IFERROR(__xludf.DUMMYFUNCTION("""COMPUTED_VALUE"""),"Box")</f>
        <v>Box</v>
      </c>
      <c r="O69" s="3">
        <f>IFERROR(__xludf.DUMMYFUNCTION("""COMPUTED_VALUE"""),1)</f>
        <v>1</v>
      </c>
      <c r="P69" s="4">
        <f>IFERROR(__xludf.DUMMYFUNCTION("""COMPUTED_VALUE"""),0.2)</f>
        <v>0.2</v>
      </c>
      <c r="Q69" s="4">
        <f>IFERROR(__xludf.DUMMYFUNCTION("""COMPUTED_VALUE"""),304)</f>
        <v>304</v>
      </c>
      <c r="R69" s="1"/>
      <c r="S69" s="1"/>
      <c r="T69" s="1" t="str">
        <f>IFERROR(__xludf.DUMMYFUNCTION("""COMPUTED_VALUE"""),"Any nearest port")</f>
        <v>Any nearest port</v>
      </c>
      <c r="U69" s="1" t="str">
        <f>IFERROR(__xludf.DUMMYFUNCTION("""COMPUTED_VALUE"""),"16 All Saint Road Bredasdorp Western Cape South Africa 7280")</f>
        <v>16 All Saint Road Bredasdorp Western Cape South Africa 7280</v>
      </c>
      <c r="V69" s="2">
        <f>IFERROR(__xludf.DUMMYFUNCTION("""COMPUTED_VALUE"""),45498)</f>
        <v>45498</v>
      </c>
      <c r="W69" s="1"/>
      <c r="X69" s="1"/>
      <c r="Y69" s="1"/>
      <c r="Z69" s="1"/>
      <c r="AA69" s="5" t="str">
        <f t="shared" si="1"/>
        <v>ADSWB/823</v>
      </c>
      <c r="AB69" s="5" t="s">
        <v>1</v>
      </c>
    </row>
    <row r="70" customHeight="1" spans="1:2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 t="str">
        <f t="shared" si="1"/>
        <v/>
      </c>
      <c r="AB70" s="5" t="s">
        <v>1</v>
      </c>
    </row>
    <row r="71" customHeight="1" spans="1:28">
      <c r="A71" s="1">
        <f>IFERROR(__xludf.DUMMYFUNCTION("""COMPUTED_VALUE"""),792)</f>
        <v>792</v>
      </c>
      <c r="B71" s="2">
        <f>IFERROR(__xludf.DUMMYFUNCTION("""COMPUTED_VALUE"""),45482)</f>
        <v>45482</v>
      </c>
      <c r="C71" s="1" t="str">
        <f>IFERROR(__xludf.DUMMYFUNCTION("""COMPUTED_VALUE"""),"Graham Scott")</f>
        <v>Graham Scott</v>
      </c>
      <c r="D71" s="1"/>
      <c r="E71" s="1" t="str">
        <f>IFERROR(__xludf.DUMMYFUNCTION("""COMPUTED_VALUE"""),"Automotive A/C components.")</f>
        <v>Automotive A/C components.</v>
      </c>
      <c r="F71" s="1" t="str">
        <f>IFERROR(__xludf.DUMMYFUNCTION("""COMPUTED_VALUE"""),"No")</f>
        <v>No</v>
      </c>
      <c r="G71" s="1" t="str">
        <f>IFERROR(__xludf.DUMMYFUNCTION("""COMPUTED_VALUE"""),"Sea")</f>
        <v>Sea</v>
      </c>
      <c r="H71" s="1" t="str">
        <f>IFERROR(__xludf.DUMMYFUNCTION("""COMPUTED_VALUE"""),"ADSWB")</f>
        <v>ADSWB</v>
      </c>
      <c r="I71" s="1" t="str">
        <f>IFERROR(__xludf.DUMMYFUNCTION("""COMPUTED_VALUE"""),"Our warehouse in China")</f>
        <v>Our warehouse in China</v>
      </c>
      <c r="J71" s="1" t="str">
        <f>IFERROR(__xludf.DUMMYFUNCTION("""COMPUTED_VALUE"""),"JWT0263617318")</f>
        <v>JWT0263617318</v>
      </c>
      <c r="K71" s="1" t="str">
        <f>IFERROR(__xludf.DUMMYFUNCTION("""COMPUTED_VALUE"""),"100071704876")</f>
        <v>100071704876</v>
      </c>
      <c r="L71" s="2">
        <f>IFERROR(__xludf.DUMMYFUNCTION("""COMPUTED_VALUE"""),45499)</f>
        <v>45499</v>
      </c>
      <c r="M71" s="1" t="str">
        <f>IFERROR(__xludf.DUMMYFUNCTION("""COMPUTED_VALUE"""),"Our warehouse in china")</f>
        <v>Our warehouse in china</v>
      </c>
      <c r="N71" s="1" t="str">
        <f>IFERROR(__xludf.DUMMYFUNCTION("""COMPUTED_VALUE"""),"Box")</f>
        <v>Box</v>
      </c>
      <c r="O71" s="3">
        <f>IFERROR(__xludf.DUMMYFUNCTION("""COMPUTED_VALUE"""),4)</f>
        <v>4</v>
      </c>
      <c r="P71" s="4">
        <f>IFERROR(__xludf.DUMMYFUNCTION("""COMPUTED_VALUE"""),0.1)</f>
        <v>0.1</v>
      </c>
      <c r="Q71" s="4">
        <f>IFERROR(__xludf.DUMMYFUNCTION("""COMPUTED_VALUE"""),37)</f>
        <v>37</v>
      </c>
      <c r="R71" s="1"/>
      <c r="S71" s="1"/>
      <c r="T71" s="1" t="str">
        <f>IFERROR(__xludf.DUMMYFUNCTION("""COMPUTED_VALUE"""),"Any nearest port")</f>
        <v>Any nearest port</v>
      </c>
      <c r="U71" s="1" t="str">
        <f>IFERROR(__xludf.DUMMYFUNCTION("""COMPUTED_VALUE"""),"1 Burmeister Circle, Milnerton 7441 Western Cape South Africa.")</f>
        <v>1 Burmeister Circle, Milnerton 7441 Western Cape South Africa.</v>
      </c>
      <c r="V71" s="2">
        <f>IFERROR(__xludf.DUMMYFUNCTION("""COMPUTED_VALUE"""),45499)</f>
        <v>45499</v>
      </c>
      <c r="W71" s="1"/>
      <c r="X71" s="1"/>
      <c r="Y71" s="1"/>
      <c r="Z71" s="1"/>
      <c r="AA71" s="5" t="str">
        <f t="shared" si="1"/>
        <v>ADSWB/792</v>
      </c>
      <c r="AB71" s="5" t="s">
        <v>1</v>
      </c>
    </row>
    <row r="72" customHeight="1" spans="1:28">
      <c r="A72" s="1"/>
      <c r="B72" s="2">
        <f>IFERROR(__xludf.DUMMYFUNCTION("""COMPUTED_VALUE"""),45502)</f>
        <v>45502</v>
      </c>
      <c r="C72" s="1"/>
      <c r="D72" s="1"/>
      <c r="E72" s="1"/>
      <c r="F72" s="1"/>
      <c r="G72" s="1"/>
      <c r="H72" s="1" t="str">
        <f>IFERROR(__xludf.DUMMYFUNCTION("""COMPUTED_VALUE"""),"ADSWB2407021")</f>
        <v>ADSWB2407021</v>
      </c>
      <c r="I72" s="1" t="str">
        <f>IFERROR(__xludf.DUMMYFUNCTION("""COMPUTED_VALUE"""),"Our warehouse in China")</f>
        <v>Our warehouse in China</v>
      </c>
      <c r="J72" s="1" t="str">
        <f>IFERROR(__xludf.DUMMYFUNCTION("""COMPUTED_VALUE"""),"JWT02636823")</f>
        <v>JWT02636823</v>
      </c>
      <c r="K72" s="1" t="str">
        <f>IFERROR(__xludf.DUMMYFUNCTION("""COMPUTED_VALUE"""),"KY4000425575815")</f>
        <v>KY4000425575815</v>
      </c>
      <c r="L72" s="2">
        <f>IFERROR(__xludf.DUMMYFUNCTION("""COMPUTED_VALUE"""),45502)</f>
        <v>45502</v>
      </c>
      <c r="M72" s="1" t="str">
        <f>IFERROR(__xludf.DUMMYFUNCTION("""COMPUTED_VALUE"""),"Our warehouse in China")</f>
        <v>Our warehouse in China</v>
      </c>
      <c r="N72" s="1" t="str">
        <f>IFERROR(__xludf.DUMMYFUNCTION("""COMPUTED_VALUE"""),"Box")</f>
        <v>Box</v>
      </c>
      <c r="O72" s="3">
        <f>IFERROR(__xludf.DUMMYFUNCTION("""COMPUTED_VALUE"""),1)</f>
        <v>1</v>
      </c>
      <c r="P72" s="4">
        <f>IFERROR(__xludf.DUMMYFUNCTION("""COMPUTED_VALUE"""),0.2)</f>
        <v>0.2</v>
      </c>
      <c r="Q72" s="4">
        <f>IFERROR(__xludf.DUMMYFUNCTION("""COMPUTED_VALUE"""),170)</f>
        <v>170</v>
      </c>
      <c r="R72" s="1"/>
      <c r="S72" s="1"/>
      <c r="T72" s="1" t="str">
        <f>IFERROR(__xludf.DUMMYFUNCTION("""COMPUTED_VALUE"""),"Any nearest port")</f>
        <v>Any nearest port</v>
      </c>
      <c r="U72" s="1"/>
      <c r="V72" s="2">
        <f>IFERROR(__xludf.DUMMYFUNCTION("""COMPUTED_VALUE"""),45502)</f>
        <v>45502</v>
      </c>
      <c r="W72" s="1"/>
      <c r="X72" s="1"/>
      <c r="Y72" s="1"/>
      <c r="Z72" s="1"/>
      <c r="AA72" s="5" t="str">
        <f t="shared" si="1"/>
        <v/>
      </c>
      <c r="AB72" s="5" t="s">
        <v>1</v>
      </c>
    </row>
    <row r="73" customHeight="1" spans="1:28">
      <c r="A73" s="1">
        <f>IFERROR(__xludf.DUMMYFUNCTION("""COMPUTED_VALUE"""),833)</f>
        <v>833</v>
      </c>
      <c r="B73" s="2">
        <f>IFERROR(__xludf.DUMMYFUNCTION("""COMPUTED_VALUE"""),45495)</f>
        <v>45495</v>
      </c>
      <c r="C73" s="1" t="str">
        <f>IFERROR(__xludf.DUMMYFUNCTION("""COMPUTED_VALUE"""),"Roelf van Heerden")</f>
        <v>Roelf van Heerden</v>
      </c>
      <c r="D73" s="1"/>
      <c r="E73" s="1" t="str">
        <f>IFERROR(__xludf.DUMMYFUNCTION("""COMPUTED_VALUE"""),"Weight plates")</f>
        <v>Weight plates</v>
      </c>
      <c r="F73" s="1" t="str">
        <f>IFERROR(__xludf.DUMMYFUNCTION("""COMPUTED_VALUE"""),"No")</f>
        <v>No</v>
      </c>
      <c r="G73" s="1" t="str">
        <f>IFERROR(__xludf.DUMMYFUNCTION("""COMPUTED_VALUE"""),"Sea")</f>
        <v>Sea</v>
      </c>
      <c r="H73" s="1" t="str">
        <f>IFERROR(__xludf.DUMMYFUNCTION("""COMPUTED_VALUE"""),"ADSWB")</f>
        <v>ADSWB</v>
      </c>
      <c r="I73" s="1" t="str">
        <f>IFERROR(__xludf.DUMMYFUNCTION("""COMPUTED_VALUE"""),"Our warehouse in China")</f>
        <v>Our warehouse in China</v>
      </c>
      <c r="J73" s="1" t="str">
        <f>IFERROR(__xludf.DUMMYFUNCTION("""COMPUTED_VALUE"""),"JWT02636823")</f>
        <v>JWT02636823</v>
      </c>
      <c r="K73" s="1" t="str">
        <f>IFERROR(__xludf.DUMMYFUNCTION("""COMPUTED_VALUE"""),"KY4000425575815")</f>
        <v>KY4000425575815</v>
      </c>
      <c r="L73" s="2">
        <f>IFERROR(__xludf.DUMMYFUNCTION("""COMPUTED_VALUE"""),45502)</f>
        <v>45502</v>
      </c>
      <c r="M73" s="1" t="str">
        <f>IFERROR(__xludf.DUMMYFUNCTION("""COMPUTED_VALUE"""),"Guanngzhou City ( Longmen City )")</f>
        <v>Guanngzhou City ( Longmen City )</v>
      </c>
      <c r="N73" s="1" t="str">
        <f>IFERROR(__xludf.DUMMYFUNCTION("""COMPUTED_VALUE"""),"Box")</f>
        <v>Box</v>
      </c>
      <c r="O73" s="1"/>
      <c r="P73" s="4">
        <f>IFERROR(__xludf.DUMMYFUNCTION("""COMPUTED_VALUE"""),0.23)</f>
        <v>0.23</v>
      </c>
      <c r="Q73" s="4">
        <f>IFERROR(__xludf.DUMMYFUNCTION("""COMPUTED_VALUE"""),170)</f>
        <v>170</v>
      </c>
      <c r="R73" s="1"/>
      <c r="S73" s="1"/>
      <c r="T73" s="1" t="str">
        <f>IFERROR(__xludf.DUMMYFUNCTION("""COMPUTED_VALUE"""),"Any nearest port")</f>
        <v>Any nearest port</v>
      </c>
      <c r="U73" s="1" t="str">
        <f>IFERROR(__xludf.DUMMYFUNCTION("""COMPUTED_VALUE"""),"32 Clarinet street  Sonheuwel  Nelspruit  1200")</f>
        <v>32 Clarinet street  Sonheuwel  Nelspruit  1200</v>
      </c>
      <c r="V73" s="2">
        <f>IFERROR(__xludf.DUMMYFUNCTION("""COMPUTED_VALUE"""),45502)</f>
        <v>45502</v>
      </c>
      <c r="W73" s="1"/>
      <c r="X73" s="1"/>
      <c r="Y73" s="1"/>
      <c r="Z73" s="1"/>
      <c r="AA73" s="5" t="str">
        <f t="shared" si="1"/>
        <v>ADSWB/833</v>
      </c>
      <c r="AB73" s="5" t="s">
        <v>1</v>
      </c>
    </row>
    <row r="74" customHeight="1" spans="1:2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 t="str">
        <f t="shared" si="1"/>
        <v/>
      </c>
      <c r="AB74" s="5" t="s">
        <v>1</v>
      </c>
    </row>
    <row r="75" customHeight="1" spans="1:2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 t="str">
        <f t="shared" si="1"/>
        <v/>
      </c>
      <c r="AB75" s="5" t="s">
        <v>1</v>
      </c>
    </row>
    <row r="76" customHeight="1" spans="1:28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 t="str">
        <f t="shared" si="1"/>
        <v/>
      </c>
      <c r="AB76" s="5" t="s">
        <v>1</v>
      </c>
    </row>
    <row r="77" customHeight="1" spans="1:28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 t="str">
        <f t="shared" si="1"/>
        <v/>
      </c>
      <c r="AB77" s="5" t="s">
        <v>1</v>
      </c>
    </row>
    <row r="78" customHeight="1" spans="1:2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 t="str">
        <f t="shared" si="1"/>
        <v/>
      </c>
      <c r="AB78" s="5" t="s">
        <v>1</v>
      </c>
    </row>
    <row r="79" customHeight="1" spans="1:28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 t="str">
        <f t="shared" si="1"/>
        <v/>
      </c>
      <c r="AB79" s="5" t="s">
        <v>1</v>
      </c>
    </row>
    <row r="80" customHeight="1" spans="1:28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 t="str">
        <f t="shared" si="1"/>
        <v/>
      </c>
      <c r="AB80" s="5" t="s">
        <v>1</v>
      </c>
    </row>
    <row r="81" customHeight="1" spans="1:28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 t="str">
        <f t="shared" si="1"/>
        <v/>
      </c>
      <c r="AB81" s="5" t="s">
        <v>1</v>
      </c>
    </row>
    <row r="82" customHeight="1" spans="1:2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 t="str">
        <f t="shared" si="1"/>
        <v/>
      </c>
      <c r="AB82" s="5" t="s">
        <v>1</v>
      </c>
    </row>
    <row r="83" customHeight="1" spans="1:2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 t="str">
        <f t="shared" si="1"/>
        <v/>
      </c>
      <c r="AB83" s="5" t="s">
        <v>1</v>
      </c>
    </row>
    <row r="84" customHeight="1" spans="1:2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 t="str">
        <f t="shared" si="1"/>
        <v/>
      </c>
      <c r="AB84" s="5" t="s">
        <v>1</v>
      </c>
    </row>
    <row r="85" customHeight="1" spans="1:2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 t="str">
        <f t="shared" si="1"/>
        <v/>
      </c>
      <c r="AB85" s="5" t="s">
        <v>1</v>
      </c>
    </row>
    <row r="86" customHeight="1" spans="1:2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 t="str">
        <f t="shared" si="1"/>
        <v/>
      </c>
      <c r="AB86" s="5" t="s">
        <v>1</v>
      </c>
    </row>
    <row r="87" customHeight="1" spans="1:2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 t="str">
        <f t="shared" si="1"/>
        <v/>
      </c>
      <c r="AB87" s="5" t="s">
        <v>1</v>
      </c>
    </row>
    <row r="88" customHeight="1" spans="1:2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 t="str">
        <f t="shared" si="1"/>
        <v/>
      </c>
      <c r="AB88" s="5" t="s">
        <v>1</v>
      </c>
    </row>
    <row r="89" customHeight="1" spans="1:2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 t="str">
        <f t="shared" si="1"/>
        <v/>
      </c>
      <c r="AB89" s="5" t="s">
        <v>1</v>
      </c>
    </row>
    <row r="90" customHeight="1" spans="1:2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 t="str">
        <f t="shared" si="1"/>
        <v/>
      </c>
      <c r="AB90" s="5" t="s">
        <v>1</v>
      </c>
    </row>
    <row r="91" customHeight="1" spans="1:2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 t="str">
        <f t="shared" si="1"/>
        <v/>
      </c>
      <c r="AB91" s="5" t="s">
        <v>1</v>
      </c>
    </row>
    <row r="92" customHeight="1" spans="1:2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 t="str">
        <f t="shared" si="1"/>
        <v/>
      </c>
      <c r="AB92" s="5" t="s">
        <v>1</v>
      </c>
    </row>
    <row r="93" customHeight="1" spans="1:2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 t="str">
        <f t="shared" si="1"/>
        <v/>
      </c>
      <c r="AB93" s="5" t="s">
        <v>1</v>
      </c>
    </row>
    <row r="94" customHeight="1" spans="1:2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 t="str">
        <f t="shared" si="1"/>
        <v/>
      </c>
      <c r="AB94" s="5" t="s">
        <v>1</v>
      </c>
    </row>
    <row r="95" customHeight="1" spans="1:2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 t="str">
        <f t="shared" si="1"/>
        <v/>
      </c>
      <c r="AB95" s="5" t="s">
        <v>1</v>
      </c>
    </row>
    <row r="96" customHeight="1" spans="1:2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 t="str">
        <f t="shared" si="1"/>
        <v/>
      </c>
      <c r="AB96" s="5" t="s">
        <v>1</v>
      </c>
    </row>
    <row r="97" customHeight="1" spans="1:2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 t="str">
        <f t="shared" si="1"/>
        <v/>
      </c>
      <c r="AB97" s="5" t="s">
        <v>1</v>
      </c>
    </row>
    <row r="98" customHeight="1" spans="1:2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 t="str">
        <f t="shared" si="1"/>
        <v/>
      </c>
      <c r="AB98" s="5" t="s">
        <v>1</v>
      </c>
    </row>
    <row r="99" customHeight="1" spans="1:2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 t="str">
        <f t="shared" si="1"/>
        <v/>
      </c>
      <c r="AB99" s="5" t="s">
        <v>1</v>
      </c>
    </row>
    <row r="100" customHeight="1" spans="1:2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 t="str">
        <f t="shared" si="1"/>
        <v/>
      </c>
      <c r="AB100" s="5" t="s">
        <v>1</v>
      </c>
    </row>
    <row r="101" customHeight="1" spans="1:2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 t="str">
        <f t="shared" si="1"/>
        <v/>
      </c>
      <c r="AB101" s="5" t="s">
        <v>1</v>
      </c>
    </row>
    <row r="102" customHeight="1" spans="1:2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 t="str">
        <f t="shared" si="1"/>
        <v/>
      </c>
      <c r="AB102" s="5" t="s">
        <v>1</v>
      </c>
    </row>
    <row r="103" customHeight="1" spans="1:2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 t="str">
        <f t="shared" si="1"/>
        <v/>
      </c>
      <c r="AB103" s="5" t="s">
        <v>1</v>
      </c>
    </row>
    <row r="104" customHeight="1" spans="1:2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 t="str">
        <f t="shared" si="1"/>
        <v/>
      </c>
      <c r="AB104" s="5" t="s">
        <v>1</v>
      </c>
    </row>
    <row r="105" customHeight="1" spans="1:2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 t="str">
        <f t="shared" si="1"/>
        <v/>
      </c>
      <c r="AB105" s="5" t="s">
        <v>1</v>
      </c>
    </row>
    <row r="106" customHeight="1" spans="1:2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 t="str">
        <f t="shared" si="1"/>
        <v/>
      </c>
      <c r="AB106" s="5" t="s">
        <v>1</v>
      </c>
    </row>
    <row r="107" customHeight="1" spans="1:2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 t="str">
        <f t="shared" si="1"/>
        <v/>
      </c>
      <c r="AB107" s="5" t="s">
        <v>1</v>
      </c>
    </row>
    <row r="108" customHeight="1" spans="1:2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 t="str">
        <f t="shared" si="1"/>
        <v/>
      </c>
      <c r="AB108" s="5" t="s">
        <v>1</v>
      </c>
    </row>
    <row r="109" customHeight="1" spans="1:2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 t="str">
        <f t="shared" si="1"/>
        <v/>
      </c>
      <c r="AB109" s="5" t="s">
        <v>1</v>
      </c>
    </row>
    <row r="110" customHeight="1" spans="1:2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 t="str">
        <f t="shared" si="1"/>
        <v/>
      </c>
      <c r="AB110" s="5" t="s">
        <v>1</v>
      </c>
    </row>
    <row r="111" customHeight="1" spans="1:2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 t="str">
        <f t="shared" si="1"/>
        <v/>
      </c>
      <c r="AB111" s="5" t="s">
        <v>1</v>
      </c>
    </row>
    <row r="112" customHeight="1" spans="1:2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 t="str">
        <f t="shared" si="1"/>
        <v/>
      </c>
      <c r="AB112" s="5" t="s">
        <v>1</v>
      </c>
    </row>
    <row r="113" customHeight="1" spans="1:2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 t="str">
        <f t="shared" si="1"/>
        <v/>
      </c>
      <c r="AB113" s="5" t="s">
        <v>1</v>
      </c>
    </row>
    <row r="114" customHeight="1" spans="1:2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 t="str">
        <f t="shared" si="1"/>
        <v/>
      </c>
      <c r="AB114" s="5" t="s">
        <v>1</v>
      </c>
    </row>
    <row r="115" customHeight="1" spans="1:2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 t="str">
        <f t="shared" si="1"/>
        <v/>
      </c>
      <c r="AB115" s="5" t="s">
        <v>1</v>
      </c>
    </row>
    <row r="116" customHeight="1" spans="1:2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 t="str">
        <f t="shared" si="1"/>
        <v/>
      </c>
      <c r="AB116" s="5" t="s">
        <v>1</v>
      </c>
    </row>
    <row r="117" customHeight="1" spans="1:2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 t="str">
        <f t="shared" si="1"/>
        <v/>
      </c>
      <c r="AB117" s="5" t="s">
        <v>1</v>
      </c>
    </row>
    <row r="118" customHeight="1" spans="1:2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 t="str">
        <f t="shared" si="1"/>
        <v/>
      </c>
      <c r="AB118" s="5" t="s">
        <v>1</v>
      </c>
    </row>
    <row r="119" customHeight="1" spans="1:2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 t="str">
        <f t="shared" si="1"/>
        <v/>
      </c>
      <c r="AB119" s="5" t="s">
        <v>1</v>
      </c>
    </row>
    <row r="120" customHeight="1" spans="1:2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 t="str">
        <f t="shared" si="1"/>
        <v/>
      </c>
      <c r="AB120" s="5" t="s">
        <v>1</v>
      </c>
    </row>
    <row r="121" customHeight="1" spans="1:2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 t="str">
        <f t="shared" si="1"/>
        <v/>
      </c>
      <c r="AB121" s="5" t="s">
        <v>1</v>
      </c>
    </row>
    <row r="122" customHeight="1" spans="1:2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 t="str">
        <f t="shared" si="1"/>
        <v/>
      </c>
      <c r="AB122" s="5" t="s">
        <v>1</v>
      </c>
    </row>
    <row r="123" customHeight="1" spans="1:2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 t="str">
        <f t="shared" si="1"/>
        <v/>
      </c>
      <c r="AB123" s="5" t="s">
        <v>1</v>
      </c>
    </row>
    <row r="124" customHeight="1" spans="1:2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 t="str">
        <f t="shared" si="1"/>
        <v/>
      </c>
      <c r="AB124" s="5" t="s">
        <v>1</v>
      </c>
    </row>
    <row r="125" customHeight="1" spans="1:2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 t="str">
        <f t="shared" si="1"/>
        <v/>
      </c>
      <c r="AB125" s="5" t="s">
        <v>1</v>
      </c>
    </row>
    <row r="126" customHeight="1" spans="1:2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 t="str">
        <f t="shared" si="1"/>
        <v/>
      </c>
      <c r="AB126" s="5" t="s">
        <v>1</v>
      </c>
    </row>
    <row r="127" customHeight="1" spans="1:2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 t="str">
        <f t="shared" si="1"/>
        <v/>
      </c>
      <c r="AB127" s="5" t="s">
        <v>1</v>
      </c>
    </row>
    <row r="128" customHeight="1" spans="1: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 t="str">
        <f t="shared" si="1"/>
        <v/>
      </c>
      <c r="AB128" s="5" t="s">
        <v>1</v>
      </c>
    </row>
    <row r="129" customHeight="1" spans="1:2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 t="str">
        <f t="shared" si="1"/>
        <v/>
      </c>
      <c r="AB129" s="5" t="s">
        <v>1</v>
      </c>
    </row>
    <row r="130" customHeight="1" spans="1:2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 t="str">
        <f t="shared" si="1"/>
        <v/>
      </c>
      <c r="AB130" s="5" t="s">
        <v>1</v>
      </c>
    </row>
    <row r="131" customHeight="1" spans="1:2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 t="str">
        <f t="shared" si="1"/>
        <v/>
      </c>
      <c r="AB131" s="5" t="s">
        <v>1</v>
      </c>
    </row>
    <row r="132" customHeight="1" spans="1:2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 t="str">
        <f t="shared" si="1"/>
        <v/>
      </c>
      <c r="AB132" s="5" t="s">
        <v>1</v>
      </c>
    </row>
    <row r="133" customHeight="1" spans="1:2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 t="str">
        <f t="shared" si="1"/>
        <v/>
      </c>
      <c r="AB133" s="5" t="s">
        <v>1</v>
      </c>
    </row>
    <row r="134" customHeight="1" spans="1:2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 t="str">
        <f t="shared" si="1"/>
        <v/>
      </c>
      <c r="AB134" s="5" t="s">
        <v>1</v>
      </c>
    </row>
    <row r="135" customHeight="1" spans="1:2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 t="str">
        <f t="shared" si="1"/>
        <v/>
      </c>
      <c r="AB135" s="5" t="s">
        <v>1</v>
      </c>
    </row>
    <row r="136" customHeight="1" spans="1:2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 t="str">
        <f t="shared" si="1"/>
        <v/>
      </c>
      <c r="AB136" s="5" t="s">
        <v>1</v>
      </c>
    </row>
    <row r="137" customHeight="1" spans="1:2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 t="str">
        <f t="shared" si="1"/>
        <v/>
      </c>
      <c r="AB137" s="5" t="s">
        <v>1</v>
      </c>
    </row>
    <row r="138" customHeight="1" spans="1:2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 t="str">
        <f t="shared" si="1"/>
        <v/>
      </c>
      <c r="AB138" s="5" t="s">
        <v>1</v>
      </c>
    </row>
    <row r="139" customHeight="1" spans="1:2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 t="str">
        <f t="shared" si="1"/>
        <v/>
      </c>
      <c r="AB139" s="5" t="s">
        <v>1</v>
      </c>
    </row>
    <row r="140" customHeight="1" spans="1:2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 t="str">
        <f t="shared" si="1"/>
        <v/>
      </c>
      <c r="AB140" s="5" t="s">
        <v>1</v>
      </c>
    </row>
    <row r="141" customHeight="1" spans="1:2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 t="str">
        <f t="shared" si="1"/>
        <v/>
      </c>
      <c r="AB141" s="5" t="s">
        <v>1</v>
      </c>
    </row>
    <row r="142" customHeight="1" spans="1:2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 t="str">
        <f t="shared" si="1"/>
        <v/>
      </c>
      <c r="AB142" s="5" t="s">
        <v>1</v>
      </c>
    </row>
    <row r="143" customHeight="1" spans="1:2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 t="str">
        <f t="shared" si="1"/>
        <v/>
      </c>
      <c r="AB143" s="5" t="s">
        <v>1</v>
      </c>
    </row>
    <row r="144" customHeight="1" spans="1:2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 t="str">
        <f t="shared" si="1"/>
        <v/>
      </c>
      <c r="AB144" s="5" t="s">
        <v>1</v>
      </c>
    </row>
    <row r="145" customHeight="1" spans="1:2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 t="str">
        <f t="shared" si="1"/>
        <v/>
      </c>
      <c r="AB145" s="5" t="s">
        <v>1</v>
      </c>
    </row>
    <row r="146" customHeight="1" spans="1:2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 t="str">
        <f t="shared" si="1"/>
        <v/>
      </c>
      <c r="AB146" s="5" t="s">
        <v>1</v>
      </c>
    </row>
    <row r="147" customHeight="1" spans="1:2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 t="str">
        <f t="shared" si="1"/>
        <v/>
      </c>
      <c r="AB147" s="5" t="s">
        <v>1</v>
      </c>
    </row>
    <row r="148" customHeight="1" spans="1:2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 t="str">
        <f t="shared" si="1"/>
        <v/>
      </c>
      <c r="AB148" s="5" t="s">
        <v>1</v>
      </c>
    </row>
    <row r="149" customHeight="1" spans="1:2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 t="str">
        <f t="shared" si="1"/>
        <v/>
      </c>
      <c r="AB149" s="5" t="s">
        <v>1</v>
      </c>
    </row>
    <row r="150" customHeight="1" spans="1:2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 t="str">
        <f t="shared" si="1"/>
        <v/>
      </c>
      <c r="AB150" s="5" t="s">
        <v>1</v>
      </c>
    </row>
    <row r="151" customHeight="1" spans="1:2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 t="str">
        <f t="shared" si="1"/>
        <v/>
      </c>
      <c r="AB151" s="5" t="s">
        <v>1</v>
      </c>
    </row>
    <row r="152" customHeight="1" spans="1:2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 t="str">
        <f t="shared" si="1"/>
        <v/>
      </c>
      <c r="AB152" s="5" t="s">
        <v>1</v>
      </c>
    </row>
    <row r="153" customHeight="1" spans="1:2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 t="str">
        <f t="shared" si="1"/>
        <v/>
      </c>
      <c r="AB153" s="5" t="s">
        <v>1</v>
      </c>
    </row>
    <row r="154" customHeight="1" spans="1:2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 t="str">
        <f t="shared" si="1"/>
        <v/>
      </c>
      <c r="AB154" s="5" t="s">
        <v>1</v>
      </c>
    </row>
    <row r="155" customHeight="1" spans="1:2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 t="str">
        <f t="shared" si="1"/>
        <v/>
      </c>
      <c r="AB155" s="5" t="s">
        <v>1</v>
      </c>
    </row>
    <row r="156" customHeight="1" spans="1:2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 t="str">
        <f t="shared" si="1"/>
        <v/>
      </c>
      <c r="AB156" s="5" t="s">
        <v>1</v>
      </c>
    </row>
    <row r="157" customHeight="1" spans="1:2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 t="str">
        <f t="shared" si="1"/>
        <v/>
      </c>
      <c r="AB157" s="5" t="s">
        <v>1</v>
      </c>
    </row>
    <row r="158" customHeight="1" spans="1:2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 t="str">
        <f t="shared" si="1"/>
        <v/>
      </c>
      <c r="AB158" s="5" t="s">
        <v>1</v>
      </c>
    </row>
    <row r="159" customHeight="1" spans="1:2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 t="str">
        <f t="shared" si="1"/>
        <v/>
      </c>
      <c r="AB159" s="5" t="s">
        <v>1</v>
      </c>
    </row>
    <row r="160" customHeight="1" spans="1:2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 t="str">
        <f t="shared" si="1"/>
        <v/>
      </c>
      <c r="AB160" s="5" t="s">
        <v>1</v>
      </c>
    </row>
    <row r="161" customHeight="1" spans="1:2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 t="str">
        <f t="shared" si="1"/>
        <v/>
      </c>
      <c r="AB161" s="5" t="s">
        <v>1</v>
      </c>
    </row>
    <row r="162" customHeight="1" spans="1:2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 t="str">
        <f t="shared" si="1"/>
        <v/>
      </c>
      <c r="AB162" s="5" t="s">
        <v>1</v>
      </c>
    </row>
    <row r="163" customHeight="1" spans="1:2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 t="str">
        <f t="shared" si="1"/>
        <v/>
      </c>
      <c r="AB163" s="5" t="s">
        <v>1</v>
      </c>
    </row>
    <row r="164" customHeight="1" spans="1:2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 t="str">
        <f t="shared" si="1"/>
        <v/>
      </c>
      <c r="AB164" s="5" t="s">
        <v>1</v>
      </c>
    </row>
    <row r="165" customHeight="1" spans="1:2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 t="str">
        <f t="shared" si="1"/>
        <v/>
      </c>
      <c r="AB165" s="5" t="s">
        <v>1</v>
      </c>
    </row>
    <row r="166" customHeight="1" spans="1:2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 t="str">
        <f t="shared" si="1"/>
        <v/>
      </c>
      <c r="AB166" s="5" t="s">
        <v>1</v>
      </c>
    </row>
    <row r="167" customHeight="1" spans="1:2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 t="str">
        <f t="shared" si="1"/>
        <v/>
      </c>
      <c r="AB167" s="5" t="s">
        <v>1</v>
      </c>
    </row>
    <row r="168" customHeight="1" spans="1:2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 t="str">
        <f t="shared" si="1"/>
        <v/>
      </c>
      <c r="AB168" s="5" t="s">
        <v>1</v>
      </c>
    </row>
    <row r="169" customHeight="1" spans="1:2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 t="str">
        <f t="shared" si="1"/>
        <v/>
      </c>
      <c r="AB169" s="5" t="s">
        <v>1</v>
      </c>
    </row>
    <row r="170" customHeight="1" spans="1:2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 t="str">
        <f t="shared" si="1"/>
        <v/>
      </c>
      <c r="AB170" s="5" t="s">
        <v>1</v>
      </c>
    </row>
    <row r="171" customHeight="1" spans="1:2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 t="str">
        <f t="shared" si="1"/>
        <v/>
      </c>
      <c r="AB171" s="5" t="s">
        <v>1</v>
      </c>
    </row>
    <row r="172" customHeight="1" spans="1:2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 t="str">
        <f t="shared" si="1"/>
        <v/>
      </c>
      <c r="AB172" s="5" t="s">
        <v>1</v>
      </c>
    </row>
    <row r="173" customHeight="1" spans="1:2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 t="str">
        <f t="shared" si="1"/>
        <v/>
      </c>
      <c r="AB173" s="5" t="s">
        <v>1</v>
      </c>
    </row>
    <row r="174" customHeight="1" spans="1:2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 t="str">
        <f t="shared" si="1"/>
        <v/>
      </c>
      <c r="AB174" s="5" t="s">
        <v>1</v>
      </c>
    </row>
    <row r="175" customHeight="1" spans="1:2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 t="str">
        <f t="shared" si="1"/>
        <v/>
      </c>
      <c r="AB175" s="5" t="s">
        <v>1</v>
      </c>
    </row>
    <row r="176" customHeight="1" spans="1:2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 t="str">
        <f t="shared" si="1"/>
        <v/>
      </c>
      <c r="AB176" s="5" t="s">
        <v>1</v>
      </c>
    </row>
    <row r="177" customHeight="1" spans="1:2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 t="str">
        <f t="shared" si="1"/>
        <v/>
      </c>
      <c r="AB177" s="5" t="s">
        <v>1</v>
      </c>
    </row>
    <row r="178" customHeight="1" spans="1:2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 t="str">
        <f t="shared" si="1"/>
        <v/>
      </c>
      <c r="AB178" s="5" t="s">
        <v>1</v>
      </c>
    </row>
    <row r="179" customHeight="1" spans="1:2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 t="str">
        <f t="shared" si="1"/>
        <v/>
      </c>
      <c r="AB179" s="5" t="s">
        <v>1</v>
      </c>
    </row>
    <row r="180" customHeight="1" spans="1:2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 t="str">
        <f t="shared" si="1"/>
        <v/>
      </c>
      <c r="AB180" s="5" t="s">
        <v>1</v>
      </c>
    </row>
    <row r="181" customHeight="1" spans="1:2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 t="str">
        <f t="shared" si="1"/>
        <v/>
      </c>
      <c r="AB181" s="5" t="s">
        <v>1</v>
      </c>
    </row>
    <row r="182" customHeight="1" spans="1:2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 t="str">
        <f t="shared" si="1"/>
        <v/>
      </c>
      <c r="AB182" s="5" t="s">
        <v>1</v>
      </c>
    </row>
    <row r="183" customHeight="1" spans="1:2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 t="str">
        <f t="shared" si="1"/>
        <v/>
      </c>
      <c r="AB183" s="5" t="s">
        <v>1</v>
      </c>
    </row>
    <row r="184" customHeight="1" spans="1:2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 t="str">
        <f t="shared" si="1"/>
        <v/>
      </c>
      <c r="AB184" s="5" t="s">
        <v>1</v>
      </c>
    </row>
    <row r="185" customHeight="1" spans="1:2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 t="str">
        <f t="shared" si="1"/>
        <v/>
      </c>
      <c r="AB185" s="5" t="s">
        <v>1</v>
      </c>
    </row>
    <row r="186" customHeight="1" spans="1:2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 t="str">
        <f t="shared" si="1"/>
        <v/>
      </c>
      <c r="AB186" s="5" t="s">
        <v>1</v>
      </c>
    </row>
    <row r="187" customHeight="1" spans="1:2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 t="str">
        <f t="shared" si="1"/>
        <v/>
      </c>
      <c r="AB187" s="5" t="s">
        <v>1</v>
      </c>
    </row>
    <row r="188" customHeight="1" spans="1:2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 t="str">
        <f t="shared" si="1"/>
        <v/>
      </c>
      <c r="AB188" s="5" t="s">
        <v>1</v>
      </c>
    </row>
    <row r="189" customHeight="1" spans="1:2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 t="str">
        <f t="shared" si="1"/>
        <v/>
      </c>
      <c r="AB189" s="5" t="s">
        <v>1</v>
      </c>
    </row>
    <row r="190" customHeight="1" spans="1:2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 t="str">
        <f t="shared" si="1"/>
        <v/>
      </c>
      <c r="AB190" s="5" t="s">
        <v>1</v>
      </c>
    </row>
    <row r="191" customHeight="1" spans="1:2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 t="str">
        <f t="shared" si="1"/>
        <v/>
      </c>
      <c r="AB191" s="5" t="s">
        <v>1</v>
      </c>
    </row>
    <row r="192" customHeight="1" spans="1:2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 t="str">
        <f t="shared" si="1"/>
        <v/>
      </c>
      <c r="AB192" s="5" t="s">
        <v>1</v>
      </c>
    </row>
    <row r="193" customHeight="1" spans="1:2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 t="str">
        <f t="shared" si="1"/>
        <v/>
      </c>
      <c r="AB193" s="5" t="s">
        <v>1</v>
      </c>
    </row>
    <row r="194" customHeight="1" spans="1:2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 t="str">
        <f t="shared" si="1"/>
        <v/>
      </c>
      <c r="AB194" s="5" t="s">
        <v>1</v>
      </c>
    </row>
    <row r="195" customHeight="1" spans="1:2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 t="str">
        <f t="shared" si="1"/>
        <v/>
      </c>
      <c r="AB195" s="5" t="s">
        <v>1</v>
      </c>
    </row>
    <row r="196" customHeight="1" spans="1:2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 t="str">
        <f t="shared" si="1"/>
        <v/>
      </c>
      <c r="AB196" s="5" t="s">
        <v>1</v>
      </c>
    </row>
    <row r="197" customHeight="1" spans="1:2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 t="str">
        <f t="shared" si="1"/>
        <v/>
      </c>
      <c r="AB197" s="5" t="s">
        <v>1</v>
      </c>
    </row>
    <row r="198" customHeight="1" spans="1:2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 t="str">
        <f t="shared" si="1"/>
        <v/>
      </c>
      <c r="AB198" s="5" t="s">
        <v>1</v>
      </c>
    </row>
    <row r="199" customHeight="1" spans="1:2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 t="str">
        <f t="shared" si="1"/>
        <v/>
      </c>
      <c r="AB199" s="5" t="s">
        <v>1</v>
      </c>
    </row>
    <row r="200" customHeight="1" spans="1:2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5" t="str">
        <f t="shared" si="1"/>
        <v/>
      </c>
      <c r="AB200" s="5" t="s">
        <v>1</v>
      </c>
    </row>
    <row r="201" customHeight="1" spans="1:2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5" t="str">
        <f t="shared" si="1"/>
        <v/>
      </c>
      <c r="AB201" s="5" t="s">
        <v>1</v>
      </c>
    </row>
    <row r="202" customHeight="1" spans="1:2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5" t="str">
        <f t="shared" si="1"/>
        <v/>
      </c>
      <c r="AB202" s="5" t="s">
        <v>1</v>
      </c>
    </row>
    <row r="203" customHeight="1" spans="1:2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5" t="str">
        <f t="shared" si="1"/>
        <v/>
      </c>
      <c r="AB203" s="5" t="s">
        <v>1</v>
      </c>
    </row>
    <row r="204" customHeight="1" spans="1:2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5" t="str">
        <f t="shared" si="1"/>
        <v/>
      </c>
      <c r="AB204" s="5" t="s">
        <v>1</v>
      </c>
    </row>
    <row r="205" customHeight="1" spans="1:2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5" t="str">
        <f t="shared" si="1"/>
        <v/>
      </c>
      <c r="AB205" s="5" t="s">
        <v>1</v>
      </c>
    </row>
    <row r="206" customHeight="1" spans="1:2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5" t="str">
        <f t="shared" si="1"/>
        <v/>
      </c>
      <c r="AB206" s="5" t="s">
        <v>1</v>
      </c>
    </row>
    <row r="207" customHeight="1" spans="1:2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5" t="str">
        <f t="shared" si="1"/>
        <v/>
      </c>
      <c r="AB207" s="5" t="s">
        <v>1</v>
      </c>
    </row>
    <row r="208" customHeight="1" spans="1:2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5" t="str">
        <f t="shared" si="1"/>
        <v/>
      </c>
      <c r="AB208" s="5" t="s">
        <v>1</v>
      </c>
    </row>
    <row r="209" customHeight="1" spans="1:2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5" t="str">
        <f t="shared" si="1"/>
        <v/>
      </c>
      <c r="AB209" s="5" t="s">
        <v>1</v>
      </c>
    </row>
    <row r="210" customHeight="1" spans="1:2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5" t="str">
        <f t="shared" si="1"/>
        <v/>
      </c>
      <c r="AB210" s="5" t="s">
        <v>1</v>
      </c>
    </row>
    <row r="211" customHeight="1" spans="1:2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5" t="str">
        <f t="shared" si="1"/>
        <v/>
      </c>
      <c r="AB211" s="5" t="s">
        <v>1</v>
      </c>
    </row>
    <row r="212" customHeight="1" spans="1:2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5" t="str">
        <f t="shared" si="1"/>
        <v/>
      </c>
      <c r="AB212" s="5" t="s">
        <v>1</v>
      </c>
    </row>
    <row r="213" customHeight="1" spans="1:2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5" t="str">
        <f t="shared" si="1"/>
        <v/>
      </c>
      <c r="AB213" s="5" t="s">
        <v>1</v>
      </c>
    </row>
    <row r="214" customHeight="1" spans="1:2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5" t="str">
        <f t="shared" si="1"/>
        <v/>
      </c>
      <c r="AB214" s="5" t="s">
        <v>1</v>
      </c>
    </row>
    <row r="215" customHeight="1" spans="1:2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5" t="str">
        <f t="shared" si="1"/>
        <v/>
      </c>
      <c r="AB215" s="5" t="s">
        <v>1</v>
      </c>
    </row>
    <row r="216" customHeight="1" spans="1:2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5" t="str">
        <f t="shared" si="1"/>
        <v/>
      </c>
      <c r="AB216" s="5" t="s">
        <v>1</v>
      </c>
    </row>
    <row r="217" customHeight="1" spans="1:2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5" t="str">
        <f t="shared" si="1"/>
        <v/>
      </c>
      <c r="AB217" s="5" t="s">
        <v>1</v>
      </c>
    </row>
    <row r="218" customHeight="1" spans="1:2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5" t="str">
        <f t="shared" si="1"/>
        <v/>
      </c>
      <c r="AB218" s="5" t="s">
        <v>1</v>
      </c>
    </row>
    <row r="219" customHeight="1" spans="1:2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5" t="str">
        <f t="shared" si="1"/>
        <v/>
      </c>
      <c r="AB219" s="5" t="s">
        <v>1</v>
      </c>
    </row>
    <row r="220" customHeight="1" spans="1:2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5" t="str">
        <f t="shared" si="1"/>
        <v/>
      </c>
      <c r="AB220" s="5" t="s">
        <v>1</v>
      </c>
    </row>
    <row r="221" customHeight="1" spans="1:2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5" t="str">
        <f t="shared" si="1"/>
        <v/>
      </c>
      <c r="AB221" s="5" t="s">
        <v>1</v>
      </c>
    </row>
    <row r="222" customHeight="1" spans="1:2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5" t="str">
        <f t="shared" si="1"/>
        <v/>
      </c>
      <c r="AB222" s="5" t="s">
        <v>1</v>
      </c>
    </row>
    <row r="223" customHeight="1" spans="1:2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5" t="str">
        <f t="shared" si="1"/>
        <v/>
      </c>
      <c r="AB223" s="5" t="s">
        <v>1</v>
      </c>
    </row>
    <row r="224" customHeight="1" spans="1:2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5" t="str">
        <f t="shared" si="1"/>
        <v/>
      </c>
      <c r="AB224" s="5" t="s">
        <v>1</v>
      </c>
    </row>
    <row r="225" customHeight="1" spans="1:2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5" t="str">
        <f t="shared" si="1"/>
        <v/>
      </c>
      <c r="AB225" s="5" t="s">
        <v>1</v>
      </c>
    </row>
    <row r="226" customHeight="1" spans="1:2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5" t="str">
        <f t="shared" si="1"/>
        <v/>
      </c>
      <c r="AB226" s="5" t="s">
        <v>1</v>
      </c>
    </row>
    <row r="227" customHeight="1" spans="1:2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5" t="str">
        <f t="shared" si="1"/>
        <v/>
      </c>
      <c r="AB227" s="5" t="s">
        <v>1</v>
      </c>
    </row>
    <row r="228" customHeight="1" spans="1: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5" t="str">
        <f t="shared" si="1"/>
        <v/>
      </c>
      <c r="AB228" s="5" t="s">
        <v>1</v>
      </c>
    </row>
    <row r="229" customHeight="1" spans="1:2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5" t="str">
        <f t="shared" si="1"/>
        <v/>
      </c>
      <c r="AB229" s="5" t="s">
        <v>1</v>
      </c>
    </row>
    <row r="230" customHeight="1" spans="1:2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5" t="str">
        <f t="shared" si="1"/>
        <v/>
      </c>
      <c r="AB230" s="5" t="s">
        <v>1</v>
      </c>
    </row>
    <row r="231" customHeight="1" spans="1:2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5" t="str">
        <f t="shared" si="1"/>
        <v/>
      </c>
      <c r="AB231" s="5" t="s">
        <v>1</v>
      </c>
    </row>
    <row r="232" customHeight="1" spans="1:2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5" t="str">
        <f t="shared" si="1"/>
        <v/>
      </c>
      <c r="AB232" s="5" t="s">
        <v>1</v>
      </c>
    </row>
    <row r="233" customHeight="1" spans="1:2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5" t="str">
        <f t="shared" si="1"/>
        <v/>
      </c>
      <c r="AB233" s="5" t="s">
        <v>1</v>
      </c>
    </row>
    <row r="234" customHeight="1" spans="1:2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5" t="str">
        <f t="shared" si="1"/>
        <v/>
      </c>
      <c r="AB234" s="5" t="s">
        <v>1</v>
      </c>
    </row>
    <row r="235" customHeight="1" spans="1:2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5" t="str">
        <f t="shared" si="1"/>
        <v/>
      </c>
      <c r="AB235" s="5" t="s">
        <v>1</v>
      </c>
    </row>
    <row r="236" customHeight="1" spans="1:2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5" t="str">
        <f t="shared" si="1"/>
        <v/>
      </c>
      <c r="AB236" s="5" t="s">
        <v>1</v>
      </c>
    </row>
    <row r="237" customHeight="1" spans="1:2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5" t="str">
        <f t="shared" si="1"/>
        <v/>
      </c>
      <c r="AB237" s="5" t="s">
        <v>1</v>
      </c>
    </row>
    <row r="238" customHeight="1" spans="1:2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5" t="str">
        <f t="shared" si="1"/>
        <v/>
      </c>
      <c r="AB238" s="5" t="s">
        <v>1</v>
      </c>
    </row>
    <row r="239" customHeight="1" spans="1:2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5" t="str">
        <f t="shared" si="1"/>
        <v/>
      </c>
      <c r="AB239" s="5" t="s">
        <v>1</v>
      </c>
    </row>
    <row r="240" customHeight="1" spans="1:2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5" t="str">
        <f t="shared" si="1"/>
        <v/>
      </c>
      <c r="AB240" s="5" t="s">
        <v>1</v>
      </c>
    </row>
    <row r="241" customHeight="1" spans="1:2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5" t="str">
        <f t="shared" si="1"/>
        <v/>
      </c>
      <c r="AB241" s="5" t="s">
        <v>1</v>
      </c>
    </row>
    <row r="242" customHeight="1" spans="1:2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5" t="str">
        <f t="shared" si="1"/>
        <v/>
      </c>
      <c r="AB242" s="5" t="s">
        <v>1</v>
      </c>
    </row>
    <row r="243" customHeight="1" spans="1:2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5" t="str">
        <f t="shared" si="1"/>
        <v/>
      </c>
      <c r="AB243" s="5" t="s">
        <v>1</v>
      </c>
    </row>
    <row r="244" customHeight="1" spans="1:2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5" t="str">
        <f t="shared" si="1"/>
        <v/>
      </c>
      <c r="AB244" s="5" t="s">
        <v>1</v>
      </c>
    </row>
    <row r="245" customHeight="1" spans="1:2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5" t="str">
        <f t="shared" si="1"/>
        <v/>
      </c>
      <c r="AB245" s="5" t="s">
        <v>1</v>
      </c>
    </row>
    <row r="246" customHeight="1" spans="1:2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5" t="str">
        <f t="shared" si="1"/>
        <v/>
      </c>
      <c r="AB246" s="5" t="s">
        <v>1</v>
      </c>
    </row>
    <row r="247" customHeight="1" spans="1:2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5" t="str">
        <f t="shared" si="1"/>
        <v/>
      </c>
      <c r="AB247" s="5" t="s">
        <v>1</v>
      </c>
    </row>
    <row r="248" customHeight="1" spans="1:2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5" t="str">
        <f t="shared" si="1"/>
        <v/>
      </c>
      <c r="AB248" s="5" t="s">
        <v>1</v>
      </c>
    </row>
    <row r="249" customHeight="1" spans="1:2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5" t="str">
        <f t="shared" si="1"/>
        <v/>
      </c>
      <c r="AB249" s="5" t="s">
        <v>1</v>
      </c>
    </row>
    <row r="250" customHeight="1" spans="1:2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5" t="str">
        <f t="shared" si="1"/>
        <v/>
      </c>
      <c r="AB250" s="5" t="s">
        <v>1</v>
      </c>
    </row>
    <row r="251" customHeight="1" spans="1:2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5" t="str">
        <f t="shared" si="1"/>
        <v/>
      </c>
      <c r="AB251" s="5" t="s">
        <v>1</v>
      </c>
    </row>
    <row r="252" customHeight="1" spans="1:2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5" t="str">
        <f t="shared" si="1"/>
        <v/>
      </c>
      <c r="AB252" s="5" t="s">
        <v>1</v>
      </c>
    </row>
    <row r="253" customHeight="1" spans="1:2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5" t="str">
        <f t="shared" si="1"/>
        <v/>
      </c>
      <c r="AB253" s="5" t="s">
        <v>1</v>
      </c>
    </row>
    <row r="254" customHeight="1" spans="1:2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5" t="str">
        <f t="shared" si="1"/>
        <v/>
      </c>
      <c r="AB254" s="5" t="s">
        <v>1</v>
      </c>
    </row>
    <row r="255" customHeight="1" spans="1:2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5" t="str">
        <f t="shared" si="1"/>
        <v/>
      </c>
      <c r="AB255" s="5" t="s">
        <v>1</v>
      </c>
    </row>
    <row r="256" customHeight="1" spans="1:2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5" t="str">
        <f t="shared" si="1"/>
        <v/>
      </c>
      <c r="AB256" s="5" t="s">
        <v>1</v>
      </c>
    </row>
    <row r="257" customHeight="1" spans="1:2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5" t="str">
        <f t="shared" si="1"/>
        <v/>
      </c>
      <c r="AB257" s="5" t="s">
        <v>1</v>
      </c>
    </row>
    <row r="258" customHeight="1" spans="1:2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5" t="str">
        <f t="shared" si="1"/>
        <v/>
      </c>
      <c r="AB258" s="5" t="s">
        <v>1</v>
      </c>
    </row>
    <row r="259" customHeight="1" spans="1:2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5" t="str">
        <f t="shared" ref="AA259:AA513" si="2">IF(A259&lt;&gt;"",H259&amp;"/"&amp;A259,"")</f>
        <v/>
      </c>
      <c r="AB259" s="5" t="s">
        <v>1</v>
      </c>
    </row>
    <row r="260" customHeight="1" spans="1:2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5" t="str">
        <f t="shared" si="2"/>
        <v/>
      </c>
      <c r="AB260" s="5" t="s">
        <v>1</v>
      </c>
    </row>
    <row r="261" customHeight="1" spans="1:2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5" t="str">
        <f t="shared" si="2"/>
        <v/>
      </c>
      <c r="AB261" s="5" t="s">
        <v>1</v>
      </c>
    </row>
    <row r="262" customHeight="1" spans="1:2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5" t="str">
        <f t="shared" si="2"/>
        <v/>
      </c>
      <c r="AB262" s="5" t="s">
        <v>1</v>
      </c>
    </row>
    <row r="263" customHeight="1" spans="1:2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5" t="str">
        <f t="shared" si="2"/>
        <v/>
      </c>
      <c r="AB263" s="5" t="s">
        <v>1</v>
      </c>
    </row>
    <row r="264" customHeight="1" spans="1:2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5" t="str">
        <f t="shared" si="2"/>
        <v/>
      </c>
      <c r="AB264" s="5" t="s">
        <v>1</v>
      </c>
    </row>
    <row r="265" customHeight="1" spans="1:2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5" t="str">
        <f t="shared" si="2"/>
        <v/>
      </c>
      <c r="AB265" s="5" t="s">
        <v>1</v>
      </c>
    </row>
    <row r="266" customHeight="1" spans="1:2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5" t="str">
        <f t="shared" si="2"/>
        <v/>
      </c>
      <c r="AB266" s="5" t="s">
        <v>1</v>
      </c>
    </row>
    <row r="267" customHeight="1" spans="1:2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5" t="str">
        <f t="shared" si="2"/>
        <v/>
      </c>
      <c r="AB267" s="5" t="s">
        <v>1</v>
      </c>
    </row>
    <row r="268" customHeight="1" spans="1:2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5" t="str">
        <f t="shared" si="2"/>
        <v/>
      </c>
      <c r="AB268" s="5" t="s">
        <v>1</v>
      </c>
    </row>
    <row r="269" customHeight="1" spans="1:2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5" t="str">
        <f t="shared" si="2"/>
        <v/>
      </c>
      <c r="AB269" s="5" t="s">
        <v>1</v>
      </c>
    </row>
    <row r="270" customHeight="1" spans="1:2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5" t="str">
        <f t="shared" si="2"/>
        <v/>
      </c>
      <c r="AB270" s="5" t="s">
        <v>1</v>
      </c>
    </row>
    <row r="271" customHeight="1" spans="1:2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5" t="str">
        <f t="shared" si="2"/>
        <v/>
      </c>
      <c r="AB271" s="5" t="s">
        <v>1</v>
      </c>
    </row>
    <row r="272" customHeight="1" spans="1:2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5" t="str">
        <f t="shared" si="2"/>
        <v/>
      </c>
      <c r="AB272" s="5" t="s">
        <v>1</v>
      </c>
    </row>
    <row r="273" customHeight="1" spans="1:2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5" t="str">
        <f t="shared" si="2"/>
        <v/>
      </c>
      <c r="AB273" s="5" t="s">
        <v>1</v>
      </c>
    </row>
    <row r="274" customHeight="1" spans="1:2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5" t="str">
        <f t="shared" si="2"/>
        <v/>
      </c>
      <c r="AB274" s="5" t="s">
        <v>1</v>
      </c>
    </row>
    <row r="275" customHeight="1" spans="1:2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5" t="str">
        <f t="shared" si="2"/>
        <v/>
      </c>
      <c r="AB275" s="5" t="s">
        <v>1</v>
      </c>
    </row>
    <row r="276" customHeight="1" spans="1:2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5" t="str">
        <f t="shared" si="2"/>
        <v/>
      </c>
      <c r="AB276" s="5" t="s">
        <v>1</v>
      </c>
    </row>
    <row r="277" customHeight="1" spans="1:2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5" t="str">
        <f t="shared" si="2"/>
        <v/>
      </c>
      <c r="AB277" s="5" t="s">
        <v>1</v>
      </c>
    </row>
    <row r="278" customHeight="1" spans="1:2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5" t="str">
        <f t="shared" si="2"/>
        <v/>
      </c>
      <c r="AB278" s="5" t="s">
        <v>1</v>
      </c>
    </row>
    <row r="279" customHeight="1" spans="1:2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5" t="str">
        <f t="shared" si="2"/>
        <v/>
      </c>
      <c r="AB279" s="5" t="s">
        <v>1</v>
      </c>
    </row>
    <row r="280" customHeight="1" spans="1:2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5" t="str">
        <f t="shared" si="2"/>
        <v/>
      </c>
      <c r="AB280" s="5" t="s">
        <v>1</v>
      </c>
    </row>
    <row r="281" customHeight="1" spans="1:2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5" t="str">
        <f t="shared" si="2"/>
        <v/>
      </c>
      <c r="AB281" s="5" t="s">
        <v>1</v>
      </c>
    </row>
    <row r="282" customHeight="1" spans="1:2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5" t="str">
        <f t="shared" si="2"/>
        <v/>
      </c>
      <c r="AB282" s="5" t="s">
        <v>1</v>
      </c>
    </row>
    <row r="283" customHeight="1" spans="1:2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5" t="str">
        <f t="shared" si="2"/>
        <v/>
      </c>
      <c r="AB283" s="5" t="s">
        <v>1</v>
      </c>
    </row>
    <row r="284" customHeight="1" spans="1:2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5" t="str">
        <f t="shared" si="2"/>
        <v/>
      </c>
      <c r="AB284" s="5" t="s">
        <v>1</v>
      </c>
    </row>
    <row r="285" customHeight="1" spans="1:2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5" t="str">
        <f t="shared" si="2"/>
        <v/>
      </c>
      <c r="AB285" s="5" t="s">
        <v>1</v>
      </c>
    </row>
    <row r="286" customHeight="1" spans="1:2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5" t="str">
        <f t="shared" si="2"/>
        <v/>
      </c>
      <c r="AB286" s="5" t="s">
        <v>1</v>
      </c>
    </row>
    <row r="287" customHeight="1" spans="1:2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5" t="str">
        <f t="shared" si="2"/>
        <v/>
      </c>
      <c r="AB287" s="5" t="s">
        <v>1</v>
      </c>
    </row>
    <row r="288" customHeight="1" spans="1:2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5" t="str">
        <f t="shared" si="2"/>
        <v/>
      </c>
      <c r="AB288" s="5" t="s">
        <v>1</v>
      </c>
    </row>
    <row r="289" customHeight="1" spans="1:2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5" t="str">
        <f t="shared" si="2"/>
        <v/>
      </c>
      <c r="AB289" s="5" t="s">
        <v>1</v>
      </c>
    </row>
    <row r="290" customHeight="1" spans="1:2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5" t="str">
        <f t="shared" si="2"/>
        <v/>
      </c>
      <c r="AB290" s="5" t="s">
        <v>1</v>
      </c>
    </row>
    <row r="291" customHeight="1" spans="1:2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5" t="str">
        <f t="shared" si="2"/>
        <v/>
      </c>
      <c r="AB291" s="5" t="s">
        <v>1</v>
      </c>
    </row>
    <row r="292" customHeight="1" spans="1:2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5" t="str">
        <f t="shared" si="2"/>
        <v/>
      </c>
      <c r="AB292" s="5" t="s">
        <v>1</v>
      </c>
    </row>
    <row r="293" customHeight="1" spans="1:2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5" t="str">
        <f t="shared" si="2"/>
        <v/>
      </c>
      <c r="AB293" s="5" t="s">
        <v>1</v>
      </c>
    </row>
    <row r="294" customHeight="1" spans="1:2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5" t="str">
        <f t="shared" si="2"/>
        <v/>
      </c>
      <c r="AB294" s="5" t="s">
        <v>1</v>
      </c>
    </row>
    <row r="295" customHeight="1" spans="1:2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5" t="str">
        <f t="shared" si="2"/>
        <v/>
      </c>
      <c r="AB295" s="5" t="s">
        <v>1</v>
      </c>
    </row>
    <row r="296" customHeight="1" spans="1:2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5" t="str">
        <f t="shared" si="2"/>
        <v/>
      </c>
      <c r="AB296" s="5" t="s">
        <v>1</v>
      </c>
    </row>
    <row r="297" customHeight="1" spans="1:2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5" t="str">
        <f t="shared" si="2"/>
        <v/>
      </c>
      <c r="AB297" s="5" t="s">
        <v>1</v>
      </c>
    </row>
    <row r="298" customHeight="1" spans="1:2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5" t="str">
        <f t="shared" si="2"/>
        <v/>
      </c>
      <c r="AB298" s="5" t="s">
        <v>1</v>
      </c>
    </row>
    <row r="299" customHeight="1" spans="1:2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5" t="str">
        <f t="shared" si="2"/>
        <v/>
      </c>
      <c r="AB299" s="5" t="s">
        <v>1</v>
      </c>
    </row>
    <row r="300" customHeight="1" spans="1:2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5" t="str">
        <f t="shared" si="2"/>
        <v/>
      </c>
      <c r="AB300" s="5" t="s">
        <v>1</v>
      </c>
    </row>
    <row r="301" customHeight="1" spans="1:2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5" t="str">
        <f t="shared" si="2"/>
        <v/>
      </c>
      <c r="AB301" s="5" t="s">
        <v>1</v>
      </c>
    </row>
    <row r="302" customHeight="1" spans="1:2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5" t="str">
        <f t="shared" si="2"/>
        <v/>
      </c>
      <c r="AB302" s="5" t="s">
        <v>1</v>
      </c>
    </row>
    <row r="303" customHeight="1" spans="1:2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5" t="str">
        <f t="shared" si="2"/>
        <v/>
      </c>
      <c r="AB303" s="5" t="s">
        <v>1</v>
      </c>
    </row>
    <row r="304" customHeight="1" spans="1:2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5" t="str">
        <f t="shared" si="2"/>
        <v/>
      </c>
      <c r="AB304" s="5" t="s">
        <v>1</v>
      </c>
    </row>
    <row r="305" customHeight="1" spans="1:2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5" t="str">
        <f t="shared" si="2"/>
        <v/>
      </c>
      <c r="AB305" s="5" t="s">
        <v>1</v>
      </c>
    </row>
    <row r="306" customHeight="1" spans="1:2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5" t="str">
        <f t="shared" si="2"/>
        <v/>
      </c>
      <c r="AB306" s="5" t="s">
        <v>1</v>
      </c>
    </row>
    <row r="307" customHeight="1" spans="1:2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5" t="str">
        <f t="shared" si="2"/>
        <v/>
      </c>
      <c r="AB307" s="5" t="s">
        <v>1</v>
      </c>
    </row>
    <row r="308" customHeight="1" spans="1:2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5" t="str">
        <f t="shared" si="2"/>
        <v/>
      </c>
      <c r="AB308" s="5" t="s">
        <v>1</v>
      </c>
    </row>
    <row r="309" customHeight="1" spans="1:2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5" t="str">
        <f t="shared" si="2"/>
        <v/>
      </c>
      <c r="AB309" s="5" t="s">
        <v>1</v>
      </c>
    </row>
    <row r="310" customHeight="1" spans="1:2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5" t="str">
        <f t="shared" si="2"/>
        <v/>
      </c>
      <c r="AB310" s="5" t="s">
        <v>1</v>
      </c>
    </row>
    <row r="311" customHeight="1" spans="1:2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5" t="str">
        <f t="shared" si="2"/>
        <v/>
      </c>
      <c r="AB311" s="5" t="s">
        <v>1</v>
      </c>
    </row>
    <row r="312" customHeight="1" spans="1:2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5" t="str">
        <f t="shared" si="2"/>
        <v/>
      </c>
      <c r="AB312" s="5" t="s">
        <v>1</v>
      </c>
    </row>
    <row r="313" customHeight="1" spans="1:2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5" t="str">
        <f t="shared" si="2"/>
        <v/>
      </c>
      <c r="AB313" s="5" t="s">
        <v>1</v>
      </c>
    </row>
    <row r="314" customHeight="1" spans="1:2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5" t="str">
        <f t="shared" si="2"/>
        <v/>
      </c>
      <c r="AB314" s="5" t="s">
        <v>1</v>
      </c>
    </row>
    <row r="315" customHeight="1" spans="1:2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5" t="str">
        <f t="shared" si="2"/>
        <v/>
      </c>
      <c r="AB315" s="5" t="s">
        <v>1</v>
      </c>
    </row>
    <row r="316" customHeight="1" spans="1:2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5" t="str">
        <f t="shared" si="2"/>
        <v/>
      </c>
      <c r="AB316" s="5" t="s">
        <v>1</v>
      </c>
    </row>
    <row r="317" customHeight="1" spans="1:2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5" t="str">
        <f t="shared" si="2"/>
        <v/>
      </c>
      <c r="AB317" s="5" t="s">
        <v>1</v>
      </c>
    </row>
    <row r="318" customHeight="1" spans="1:2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5" t="str">
        <f t="shared" si="2"/>
        <v/>
      </c>
      <c r="AB318" s="5" t="s">
        <v>1</v>
      </c>
    </row>
    <row r="319" customHeight="1" spans="1:2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5" t="str">
        <f t="shared" si="2"/>
        <v/>
      </c>
      <c r="AB319" s="5" t="s">
        <v>1</v>
      </c>
    </row>
    <row r="320" customHeight="1" spans="1:2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5" t="str">
        <f t="shared" si="2"/>
        <v/>
      </c>
      <c r="AB320" s="5" t="s">
        <v>1</v>
      </c>
    </row>
    <row r="321" customHeight="1" spans="1:2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5" t="str">
        <f t="shared" si="2"/>
        <v/>
      </c>
      <c r="AB321" s="5" t="s">
        <v>1</v>
      </c>
    </row>
    <row r="322" customHeight="1" spans="1:2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5" t="str">
        <f t="shared" si="2"/>
        <v/>
      </c>
      <c r="AB322" s="5" t="s">
        <v>1</v>
      </c>
    </row>
    <row r="323" customHeight="1" spans="1:2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5" t="str">
        <f t="shared" si="2"/>
        <v/>
      </c>
      <c r="AB323" s="5" t="s">
        <v>1</v>
      </c>
    </row>
    <row r="324" customHeight="1" spans="1:2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5" t="str">
        <f t="shared" si="2"/>
        <v/>
      </c>
      <c r="AB324" s="5" t="s">
        <v>1</v>
      </c>
    </row>
    <row r="325" customHeight="1" spans="1:2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5" t="str">
        <f t="shared" si="2"/>
        <v/>
      </c>
      <c r="AB325" s="5" t="s">
        <v>1</v>
      </c>
    </row>
    <row r="326" customHeight="1" spans="1:2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5" t="str">
        <f t="shared" si="2"/>
        <v/>
      </c>
      <c r="AB326" s="5" t="s">
        <v>1</v>
      </c>
    </row>
    <row r="327" customHeight="1" spans="1:2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5" t="str">
        <f t="shared" si="2"/>
        <v/>
      </c>
      <c r="AB327" s="5" t="s">
        <v>1</v>
      </c>
    </row>
    <row r="328" customHeight="1" spans="1: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5" t="str">
        <f t="shared" si="2"/>
        <v/>
      </c>
      <c r="AB328" s="5" t="s">
        <v>1</v>
      </c>
    </row>
    <row r="329" customHeight="1" spans="1:2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5" t="str">
        <f t="shared" si="2"/>
        <v/>
      </c>
      <c r="AB329" s="5" t="s">
        <v>1</v>
      </c>
    </row>
    <row r="330" customHeight="1" spans="1:2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5" t="str">
        <f t="shared" si="2"/>
        <v/>
      </c>
      <c r="AB330" s="5" t="s">
        <v>1</v>
      </c>
    </row>
    <row r="331" customHeight="1" spans="1:2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5" t="str">
        <f t="shared" si="2"/>
        <v/>
      </c>
      <c r="AB331" s="5" t="s">
        <v>1</v>
      </c>
    </row>
    <row r="332" customHeight="1" spans="1:2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5" t="str">
        <f t="shared" si="2"/>
        <v/>
      </c>
      <c r="AB332" s="5" t="s">
        <v>1</v>
      </c>
    </row>
    <row r="333" customHeight="1" spans="1:2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5" t="str">
        <f t="shared" si="2"/>
        <v/>
      </c>
      <c r="AB333" s="5" t="s">
        <v>1</v>
      </c>
    </row>
    <row r="334" customHeight="1" spans="1:2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5" t="str">
        <f t="shared" si="2"/>
        <v/>
      </c>
      <c r="AB334" s="5" t="s">
        <v>1</v>
      </c>
    </row>
    <row r="335" customHeight="1" spans="1:2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5" t="str">
        <f t="shared" si="2"/>
        <v/>
      </c>
      <c r="AB335" s="5" t="s">
        <v>1</v>
      </c>
    </row>
    <row r="336" customHeight="1" spans="1:2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5" t="str">
        <f t="shared" si="2"/>
        <v/>
      </c>
      <c r="AB336" s="5" t="s">
        <v>1</v>
      </c>
    </row>
    <row r="337" customHeight="1" spans="1:2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5" t="str">
        <f t="shared" si="2"/>
        <v/>
      </c>
      <c r="AB337" s="5" t="s">
        <v>1</v>
      </c>
    </row>
    <row r="338" customHeight="1" spans="1:2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5" t="str">
        <f t="shared" si="2"/>
        <v/>
      </c>
      <c r="AB338" s="5" t="s">
        <v>1</v>
      </c>
    </row>
    <row r="339" customHeight="1" spans="1:2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5" t="str">
        <f t="shared" si="2"/>
        <v/>
      </c>
      <c r="AB339" s="5" t="s">
        <v>1</v>
      </c>
    </row>
    <row r="340" customHeight="1" spans="1:2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5" t="str">
        <f t="shared" si="2"/>
        <v/>
      </c>
      <c r="AB340" s="5" t="s">
        <v>1</v>
      </c>
    </row>
    <row r="341" customHeight="1" spans="1:2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5" t="str">
        <f t="shared" si="2"/>
        <v/>
      </c>
      <c r="AB341" s="5" t="s">
        <v>1</v>
      </c>
    </row>
    <row r="342" customHeight="1" spans="1:2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5" t="str">
        <f t="shared" si="2"/>
        <v/>
      </c>
      <c r="AB342" s="5" t="s">
        <v>1</v>
      </c>
    </row>
    <row r="343" customHeight="1" spans="1:2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5" t="str">
        <f t="shared" si="2"/>
        <v/>
      </c>
      <c r="AB343" s="5" t="s">
        <v>1</v>
      </c>
    </row>
    <row r="344" customHeight="1" spans="1:2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5" t="str">
        <f t="shared" si="2"/>
        <v/>
      </c>
      <c r="AB344" s="5" t="s">
        <v>1</v>
      </c>
    </row>
    <row r="345" customHeight="1" spans="1:2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5" t="str">
        <f t="shared" si="2"/>
        <v/>
      </c>
      <c r="AB345" s="5" t="s">
        <v>1</v>
      </c>
    </row>
    <row r="346" customHeight="1" spans="1:2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5" t="str">
        <f t="shared" si="2"/>
        <v/>
      </c>
      <c r="AB346" s="5" t="s">
        <v>1</v>
      </c>
    </row>
    <row r="347" customHeight="1" spans="1:2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5" t="str">
        <f t="shared" si="2"/>
        <v/>
      </c>
      <c r="AB347" s="5" t="s">
        <v>1</v>
      </c>
    </row>
    <row r="348" customHeight="1" spans="1:2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5" t="str">
        <f t="shared" si="2"/>
        <v/>
      </c>
      <c r="AB348" s="5" t="s">
        <v>1</v>
      </c>
    </row>
    <row r="349" customHeight="1" spans="1:2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5" t="str">
        <f t="shared" si="2"/>
        <v/>
      </c>
      <c r="AB349" s="5" t="s">
        <v>1</v>
      </c>
    </row>
    <row r="350" customHeight="1" spans="1:2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5" t="str">
        <f t="shared" si="2"/>
        <v/>
      </c>
      <c r="AB350" s="5" t="s">
        <v>1</v>
      </c>
    </row>
    <row r="351" customHeight="1" spans="1:2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5" t="str">
        <f t="shared" si="2"/>
        <v/>
      </c>
      <c r="AB351" s="5" t="s">
        <v>1</v>
      </c>
    </row>
    <row r="352" customHeight="1" spans="1:2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5" t="str">
        <f t="shared" si="2"/>
        <v/>
      </c>
      <c r="AB352" s="5" t="s">
        <v>1</v>
      </c>
    </row>
    <row r="353" customHeight="1" spans="1:2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5" t="str">
        <f t="shared" si="2"/>
        <v/>
      </c>
      <c r="AB353" s="5" t="s">
        <v>1</v>
      </c>
    </row>
    <row r="354" customHeight="1" spans="1:2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5" t="str">
        <f t="shared" si="2"/>
        <v/>
      </c>
      <c r="AB354" s="5" t="s">
        <v>1</v>
      </c>
    </row>
    <row r="355" customHeight="1" spans="1:2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5" t="str">
        <f t="shared" si="2"/>
        <v/>
      </c>
      <c r="AB355" s="5" t="s">
        <v>1</v>
      </c>
    </row>
    <row r="356" customHeight="1" spans="1:2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5" t="str">
        <f t="shared" si="2"/>
        <v/>
      </c>
      <c r="AB356" s="5" t="s">
        <v>1</v>
      </c>
    </row>
    <row r="357" customHeight="1" spans="1:2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5" t="str">
        <f t="shared" si="2"/>
        <v/>
      </c>
      <c r="AB357" s="5" t="s">
        <v>1</v>
      </c>
    </row>
    <row r="358" customHeight="1" spans="1:2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5" t="str">
        <f t="shared" si="2"/>
        <v/>
      </c>
      <c r="AB358" s="5" t="s">
        <v>1</v>
      </c>
    </row>
    <row r="359" customHeight="1" spans="1:2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5" t="str">
        <f t="shared" si="2"/>
        <v/>
      </c>
      <c r="AB359" s="5" t="s">
        <v>1</v>
      </c>
    </row>
    <row r="360" customHeight="1" spans="1:2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5" t="str">
        <f t="shared" si="2"/>
        <v/>
      </c>
      <c r="AB360" s="5" t="s">
        <v>1</v>
      </c>
    </row>
    <row r="361" customHeight="1" spans="1:2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5" t="str">
        <f t="shared" si="2"/>
        <v/>
      </c>
      <c r="AB361" s="5" t="s">
        <v>1</v>
      </c>
    </row>
    <row r="362" customHeight="1" spans="1:2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5" t="str">
        <f t="shared" si="2"/>
        <v/>
      </c>
      <c r="AB362" s="5" t="s">
        <v>1</v>
      </c>
    </row>
    <row r="363" customHeight="1" spans="1:2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5" t="str">
        <f t="shared" si="2"/>
        <v/>
      </c>
      <c r="AB363" s="5" t="s">
        <v>1</v>
      </c>
    </row>
    <row r="364" customHeight="1" spans="1:2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5" t="str">
        <f t="shared" si="2"/>
        <v/>
      </c>
      <c r="AB364" s="5" t="s">
        <v>1</v>
      </c>
    </row>
    <row r="365" customHeight="1" spans="1:2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5" t="str">
        <f t="shared" si="2"/>
        <v/>
      </c>
      <c r="AB365" s="5" t="s">
        <v>1</v>
      </c>
    </row>
    <row r="366" customHeight="1" spans="1:2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5" t="str">
        <f t="shared" si="2"/>
        <v/>
      </c>
      <c r="AB366" s="5" t="s">
        <v>1</v>
      </c>
    </row>
    <row r="367" customHeight="1" spans="1:2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5" t="str">
        <f t="shared" si="2"/>
        <v/>
      </c>
      <c r="AB367" s="5" t="s">
        <v>1</v>
      </c>
    </row>
    <row r="368" customHeight="1" spans="1:2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5" t="str">
        <f t="shared" si="2"/>
        <v/>
      </c>
      <c r="AB368" s="5" t="s">
        <v>1</v>
      </c>
    </row>
    <row r="369" customHeight="1" spans="1:2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5" t="str">
        <f t="shared" si="2"/>
        <v/>
      </c>
      <c r="AB369" s="5" t="s">
        <v>1</v>
      </c>
    </row>
    <row r="370" customHeight="1" spans="1:2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5" t="str">
        <f t="shared" si="2"/>
        <v/>
      </c>
      <c r="AB370" s="5" t="s">
        <v>1</v>
      </c>
    </row>
    <row r="371" customHeight="1" spans="1:2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5" t="str">
        <f t="shared" si="2"/>
        <v/>
      </c>
      <c r="AB371" s="5" t="s">
        <v>1</v>
      </c>
    </row>
    <row r="372" customHeight="1" spans="1:2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5" t="str">
        <f t="shared" si="2"/>
        <v/>
      </c>
      <c r="AB372" s="5" t="s">
        <v>1</v>
      </c>
    </row>
    <row r="373" customHeight="1" spans="1:2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5" t="str">
        <f t="shared" si="2"/>
        <v/>
      </c>
      <c r="AB373" s="5" t="s">
        <v>1</v>
      </c>
    </row>
    <row r="374" customHeight="1" spans="1:2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5" t="str">
        <f t="shared" si="2"/>
        <v/>
      </c>
      <c r="AB374" s="5" t="s">
        <v>1</v>
      </c>
    </row>
    <row r="375" customHeight="1" spans="1:2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5" t="str">
        <f t="shared" si="2"/>
        <v/>
      </c>
      <c r="AB375" s="5" t="s">
        <v>1</v>
      </c>
    </row>
    <row r="376" customHeight="1" spans="1:2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5" t="str">
        <f t="shared" si="2"/>
        <v/>
      </c>
      <c r="AB376" s="5" t="s">
        <v>1</v>
      </c>
    </row>
    <row r="377" customHeight="1" spans="1:2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5" t="str">
        <f t="shared" si="2"/>
        <v/>
      </c>
      <c r="AB377" s="5" t="s">
        <v>1</v>
      </c>
    </row>
    <row r="378" customHeight="1" spans="1:2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5" t="str">
        <f t="shared" si="2"/>
        <v/>
      </c>
      <c r="AB378" s="5" t="s">
        <v>1</v>
      </c>
    </row>
    <row r="379" customHeight="1" spans="1:2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5" t="str">
        <f t="shared" si="2"/>
        <v/>
      </c>
      <c r="AB379" s="5" t="s">
        <v>1</v>
      </c>
    </row>
    <row r="380" customHeight="1" spans="1:2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5" t="str">
        <f t="shared" si="2"/>
        <v/>
      </c>
      <c r="AB380" s="5" t="s">
        <v>1</v>
      </c>
    </row>
    <row r="381" customHeight="1" spans="1:2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5" t="str">
        <f t="shared" si="2"/>
        <v/>
      </c>
      <c r="AB381" s="5" t="s">
        <v>1</v>
      </c>
    </row>
    <row r="382" customHeight="1" spans="1:2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5" t="str">
        <f t="shared" si="2"/>
        <v/>
      </c>
      <c r="AB382" s="5" t="s">
        <v>1</v>
      </c>
    </row>
    <row r="383" customHeight="1" spans="1:2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5" t="str">
        <f t="shared" si="2"/>
        <v/>
      </c>
      <c r="AB383" s="5" t="s">
        <v>1</v>
      </c>
    </row>
    <row r="384" customHeight="1" spans="1:2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5" t="str">
        <f t="shared" si="2"/>
        <v/>
      </c>
      <c r="AB384" s="5" t="s">
        <v>1</v>
      </c>
    </row>
    <row r="385" customHeight="1" spans="1:2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5" t="str">
        <f t="shared" si="2"/>
        <v/>
      </c>
      <c r="AB385" s="5" t="s">
        <v>1</v>
      </c>
    </row>
    <row r="386" customHeight="1" spans="1:2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5" t="str">
        <f t="shared" si="2"/>
        <v/>
      </c>
      <c r="AB386" s="5" t="s">
        <v>1</v>
      </c>
    </row>
    <row r="387" customHeight="1" spans="1:2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5" t="str">
        <f t="shared" si="2"/>
        <v/>
      </c>
      <c r="AB387" s="5" t="s">
        <v>1</v>
      </c>
    </row>
    <row r="388" customHeight="1" spans="1:2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5" t="str">
        <f t="shared" si="2"/>
        <v/>
      </c>
      <c r="AB388" s="5" t="s">
        <v>1</v>
      </c>
    </row>
    <row r="389" customHeight="1" spans="1:2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5" t="str">
        <f t="shared" si="2"/>
        <v/>
      </c>
      <c r="AB389" s="5" t="s">
        <v>1</v>
      </c>
    </row>
    <row r="390" customHeight="1" spans="1:2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5" t="str">
        <f t="shared" si="2"/>
        <v/>
      </c>
      <c r="AB390" s="5" t="s">
        <v>1</v>
      </c>
    </row>
    <row r="391" customHeight="1" spans="1:2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5" t="str">
        <f t="shared" si="2"/>
        <v/>
      </c>
      <c r="AB391" s="5" t="s">
        <v>1</v>
      </c>
    </row>
    <row r="392" customHeight="1" spans="1:2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5" t="str">
        <f t="shared" si="2"/>
        <v/>
      </c>
      <c r="AB392" s="5" t="s">
        <v>1</v>
      </c>
    </row>
    <row r="393" customHeight="1" spans="1:2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5" t="str">
        <f t="shared" si="2"/>
        <v/>
      </c>
      <c r="AB393" s="5" t="s">
        <v>1</v>
      </c>
    </row>
    <row r="394" customHeight="1" spans="1:2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5" t="str">
        <f t="shared" si="2"/>
        <v/>
      </c>
      <c r="AB394" s="5" t="s">
        <v>1</v>
      </c>
    </row>
    <row r="395" customHeight="1" spans="1:2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5" t="str">
        <f t="shared" si="2"/>
        <v/>
      </c>
      <c r="AB395" s="5" t="s">
        <v>1</v>
      </c>
    </row>
    <row r="396" customHeight="1" spans="1:2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5" t="str">
        <f t="shared" si="2"/>
        <v/>
      </c>
      <c r="AB396" s="5" t="s">
        <v>1</v>
      </c>
    </row>
    <row r="397" customHeight="1" spans="1:2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5" t="str">
        <f t="shared" si="2"/>
        <v/>
      </c>
      <c r="AB397" s="5" t="s">
        <v>1</v>
      </c>
    </row>
    <row r="398" customHeight="1" spans="1:2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5" t="str">
        <f t="shared" si="2"/>
        <v/>
      </c>
      <c r="AB398" s="5" t="s">
        <v>1</v>
      </c>
    </row>
    <row r="399" customHeight="1" spans="1:2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5" t="str">
        <f t="shared" si="2"/>
        <v/>
      </c>
      <c r="AB399" s="5" t="s">
        <v>1</v>
      </c>
    </row>
    <row r="400" customHeight="1" spans="1:2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5" t="str">
        <f t="shared" si="2"/>
        <v/>
      </c>
      <c r="AB400" s="5" t="s">
        <v>1</v>
      </c>
    </row>
    <row r="401" customHeight="1" spans="1:2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5" t="str">
        <f t="shared" si="2"/>
        <v/>
      </c>
      <c r="AB401" s="5" t="s">
        <v>1</v>
      </c>
    </row>
    <row r="402" customHeight="1" spans="1:2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5" t="str">
        <f t="shared" si="2"/>
        <v/>
      </c>
      <c r="AB402" s="5" t="s">
        <v>1</v>
      </c>
    </row>
    <row r="403" customHeight="1" spans="1:2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5" t="str">
        <f t="shared" si="2"/>
        <v/>
      </c>
      <c r="AB403" s="5" t="s">
        <v>1</v>
      </c>
    </row>
    <row r="404" customHeight="1" spans="1:2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5" t="str">
        <f t="shared" si="2"/>
        <v/>
      </c>
      <c r="AB404" s="5" t="s">
        <v>1</v>
      </c>
    </row>
    <row r="405" customHeight="1" spans="1:2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5" t="str">
        <f t="shared" si="2"/>
        <v/>
      </c>
      <c r="AB405" s="5" t="s">
        <v>1</v>
      </c>
    </row>
    <row r="406" customHeight="1" spans="1:2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5" t="str">
        <f t="shared" si="2"/>
        <v/>
      </c>
      <c r="AB406" s="5" t="s">
        <v>1</v>
      </c>
    </row>
    <row r="407" customHeight="1" spans="1:2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5" t="str">
        <f t="shared" si="2"/>
        <v/>
      </c>
      <c r="AB407" s="5" t="s">
        <v>1</v>
      </c>
    </row>
    <row r="408" customHeight="1" spans="1:2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5" t="str">
        <f t="shared" si="2"/>
        <v/>
      </c>
      <c r="AB408" s="5" t="s">
        <v>1</v>
      </c>
    </row>
    <row r="409" customHeight="1" spans="1:2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5" t="str">
        <f t="shared" si="2"/>
        <v/>
      </c>
      <c r="AB409" s="5" t="s">
        <v>1</v>
      </c>
    </row>
    <row r="410" customHeight="1" spans="1:2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5" t="str">
        <f t="shared" si="2"/>
        <v/>
      </c>
      <c r="AB410" s="5" t="s">
        <v>1</v>
      </c>
    </row>
    <row r="411" customHeight="1" spans="1:2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5" t="str">
        <f t="shared" si="2"/>
        <v/>
      </c>
      <c r="AB411" s="5" t="s">
        <v>1</v>
      </c>
    </row>
    <row r="412" customHeight="1" spans="1:2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5" t="str">
        <f t="shared" si="2"/>
        <v/>
      </c>
      <c r="AB412" s="5" t="s">
        <v>1</v>
      </c>
    </row>
    <row r="413" customHeight="1" spans="1:2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5" t="str">
        <f t="shared" si="2"/>
        <v/>
      </c>
      <c r="AB413" s="5" t="s">
        <v>1</v>
      </c>
    </row>
    <row r="414" customHeight="1" spans="1:2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5" t="str">
        <f t="shared" si="2"/>
        <v/>
      </c>
      <c r="AB414" s="5" t="s">
        <v>1</v>
      </c>
    </row>
    <row r="415" customHeight="1" spans="1:2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5" t="str">
        <f t="shared" si="2"/>
        <v/>
      </c>
      <c r="AB415" s="5" t="s">
        <v>1</v>
      </c>
    </row>
    <row r="416" customHeight="1" spans="1:2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5" t="str">
        <f t="shared" si="2"/>
        <v/>
      </c>
      <c r="AB416" s="5" t="s">
        <v>1</v>
      </c>
    </row>
    <row r="417" customHeight="1" spans="1:2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5" t="str">
        <f t="shared" si="2"/>
        <v/>
      </c>
      <c r="AB417" s="5" t="s">
        <v>1</v>
      </c>
    </row>
    <row r="418" customHeight="1" spans="1:2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5" t="str">
        <f t="shared" si="2"/>
        <v/>
      </c>
      <c r="AB418" s="5" t="s">
        <v>1</v>
      </c>
    </row>
    <row r="419" customHeight="1" spans="1:2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5" t="str">
        <f t="shared" si="2"/>
        <v/>
      </c>
      <c r="AB419" s="5" t="s">
        <v>1</v>
      </c>
    </row>
    <row r="420" customHeight="1" spans="1:2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5" t="str">
        <f t="shared" si="2"/>
        <v/>
      </c>
      <c r="AB420" s="5" t="s">
        <v>1</v>
      </c>
    </row>
    <row r="421" customHeight="1" spans="1:2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5" t="str">
        <f t="shared" si="2"/>
        <v/>
      </c>
      <c r="AB421" s="5" t="s">
        <v>1</v>
      </c>
    </row>
    <row r="422" customHeight="1" spans="1:2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5" t="str">
        <f t="shared" si="2"/>
        <v/>
      </c>
      <c r="AB422" s="5" t="s">
        <v>1</v>
      </c>
    </row>
    <row r="423" customHeight="1" spans="1:2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5" t="str">
        <f t="shared" si="2"/>
        <v/>
      </c>
      <c r="AB423" s="5" t="s">
        <v>1</v>
      </c>
    </row>
    <row r="424" customHeight="1" spans="1:2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5" t="str">
        <f t="shared" si="2"/>
        <v/>
      </c>
      <c r="AB424" s="5" t="s">
        <v>1</v>
      </c>
    </row>
    <row r="425" customHeight="1" spans="1:2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5" t="str">
        <f t="shared" si="2"/>
        <v/>
      </c>
      <c r="AB425" s="5" t="s">
        <v>1</v>
      </c>
    </row>
    <row r="426" customHeight="1" spans="1:2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5" t="str">
        <f t="shared" si="2"/>
        <v/>
      </c>
      <c r="AB426" s="5" t="s">
        <v>1</v>
      </c>
    </row>
    <row r="427" customHeight="1" spans="1:2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5" t="str">
        <f t="shared" si="2"/>
        <v/>
      </c>
      <c r="AB427" s="5" t="s">
        <v>1</v>
      </c>
    </row>
    <row r="428" customHeight="1" spans="1: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5" t="str">
        <f t="shared" si="2"/>
        <v/>
      </c>
      <c r="AB428" s="5" t="s">
        <v>1</v>
      </c>
    </row>
    <row r="429" customHeight="1" spans="1:2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5" t="str">
        <f t="shared" si="2"/>
        <v/>
      </c>
      <c r="AB429" s="5" t="s">
        <v>1</v>
      </c>
    </row>
    <row r="430" customHeight="1" spans="1:2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5" t="str">
        <f t="shared" si="2"/>
        <v/>
      </c>
      <c r="AB430" s="5" t="s">
        <v>1</v>
      </c>
    </row>
    <row r="431" customHeight="1" spans="1:2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5" t="str">
        <f t="shared" si="2"/>
        <v/>
      </c>
      <c r="AB431" s="5" t="s">
        <v>1</v>
      </c>
    </row>
    <row r="432" customHeight="1" spans="1:2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5" t="str">
        <f t="shared" si="2"/>
        <v/>
      </c>
      <c r="AB432" s="5" t="s">
        <v>1</v>
      </c>
    </row>
    <row r="433" customHeight="1" spans="1:2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5" t="str">
        <f t="shared" si="2"/>
        <v/>
      </c>
      <c r="AB433" s="5" t="s">
        <v>1</v>
      </c>
    </row>
    <row r="434" customHeight="1" spans="1:2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5" t="str">
        <f t="shared" si="2"/>
        <v/>
      </c>
      <c r="AB434" s="5" t="s">
        <v>1</v>
      </c>
    </row>
    <row r="435" customHeight="1" spans="1:2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5" t="str">
        <f t="shared" si="2"/>
        <v/>
      </c>
      <c r="AB435" s="5" t="s">
        <v>1</v>
      </c>
    </row>
    <row r="436" customHeight="1" spans="1:2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5" t="str">
        <f t="shared" si="2"/>
        <v/>
      </c>
      <c r="AB436" s="5" t="s">
        <v>1</v>
      </c>
    </row>
    <row r="437" customHeight="1" spans="1:2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5" t="str">
        <f t="shared" si="2"/>
        <v/>
      </c>
      <c r="AB437" s="5" t="s">
        <v>1</v>
      </c>
    </row>
    <row r="438" customHeight="1" spans="1:2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5" t="str">
        <f t="shared" si="2"/>
        <v/>
      </c>
      <c r="AB438" s="5" t="s">
        <v>1</v>
      </c>
    </row>
    <row r="439" customHeight="1" spans="1:2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5" t="str">
        <f t="shared" si="2"/>
        <v/>
      </c>
      <c r="AB439" s="5" t="s">
        <v>1</v>
      </c>
    </row>
    <row r="440" customHeight="1" spans="1:2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5" t="str">
        <f t="shared" si="2"/>
        <v/>
      </c>
      <c r="AB440" s="5" t="s">
        <v>1</v>
      </c>
    </row>
    <row r="441" customHeight="1" spans="1:2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5" t="str">
        <f t="shared" si="2"/>
        <v/>
      </c>
      <c r="AB441" s="5" t="s">
        <v>1</v>
      </c>
    </row>
    <row r="442" customHeight="1" spans="1:2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5" t="str">
        <f t="shared" si="2"/>
        <v/>
      </c>
      <c r="AB442" s="5" t="s">
        <v>1</v>
      </c>
    </row>
    <row r="443" customHeight="1" spans="1:2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5" t="str">
        <f t="shared" si="2"/>
        <v/>
      </c>
      <c r="AB443" s="5" t="s">
        <v>1</v>
      </c>
    </row>
    <row r="444" customHeight="1" spans="1:2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5" t="str">
        <f t="shared" si="2"/>
        <v/>
      </c>
      <c r="AB444" s="5" t="s">
        <v>1</v>
      </c>
    </row>
    <row r="445" customHeight="1" spans="1:2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5" t="str">
        <f t="shared" si="2"/>
        <v/>
      </c>
      <c r="AB445" s="5" t="s">
        <v>1</v>
      </c>
    </row>
    <row r="446" customHeight="1" spans="1:2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5" t="str">
        <f t="shared" si="2"/>
        <v/>
      </c>
      <c r="AB446" s="5" t="s">
        <v>1</v>
      </c>
    </row>
    <row r="447" customHeight="1" spans="1:2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5" t="str">
        <f t="shared" si="2"/>
        <v/>
      </c>
      <c r="AB447" s="5" t="s">
        <v>1</v>
      </c>
    </row>
    <row r="448" customHeight="1" spans="1:2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5" t="str">
        <f t="shared" si="2"/>
        <v/>
      </c>
      <c r="AB448" s="5" t="s">
        <v>1</v>
      </c>
    </row>
    <row r="449" customHeight="1" spans="1:2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5" t="str">
        <f t="shared" si="2"/>
        <v/>
      </c>
      <c r="AB449" s="5" t="s">
        <v>1</v>
      </c>
    </row>
    <row r="450" customHeight="1" spans="1:2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5" t="str">
        <f t="shared" si="2"/>
        <v/>
      </c>
      <c r="AB450" s="5" t="s">
        <v>1</v>
      </c>
    </row>
    <row r="451" customHeight="1" spans="1:2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5" t="str">
        <f t="shared" si="2"/>
        <v/>
      </c>
      <c r="AB451" s="5" t="s">
        <v>1</v>
      </c>
    </row>
    <row r="452" customHeight="1" spans="1:2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5" t="str">
        <f t="shared" si="2"/>
        <v/>
      </c>
      <c r="AB452" s="5" t="s">
        <v>1</v>
      </c>
    </row>
    <row r="453" customHeight="1" spans="1:2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5" t="str">
        <f t="shared" si="2"/>
        <v/>
      </c>
      <c r="AB453" s="5" t="s">
        <v>1</v>
      </c>
    </row>
    <row r="454" customHeight="1" spans="1:2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5" t="str">
        <f t="shared" si="2"/>
        <v/>
      </c>
      <c r="AB454" s="5" t="s">
        <v>1</v>
      </c>
    </row>
    <row r="455" customHeight="1" spans="1:2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5" t="str">
        <f t="shared" si="2"/>
        <v/>
      </c>
      <c r="AB455" s="5" t="s">
        <v>1</v>
      </c>
    </row>
    <row r="456" customHeight="1" spans="1:2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5" t="str">
        <f t="shared" si="2"/>
        <v/>
      </c>
      <c r="AB456" s="5" t="s">
        <v>1</v>
      </c>
    </row>
    <row r="457" customHeight="1" spans="1:2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5" t="str">
        <f t="shared" si="2"/>
        <v/>
      </c>
      <c r="AB457" s="5" t="s">
        <v>1</v>
      </c>
    </row>
    <row r="458" customHeight="1" spans="1:2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5" t="str">
        <f t="shared" si="2"/>
        <v/>
      </c>
      <c r="AB458" s="5" t="s">
        <v>1</v>
      </c>
    </row>
    <row r="459" customHeight="1" spans="1:2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5" t="str">
        <f t="shared" si="2"/>
        <v/>
      </c>
      <c r="AB459" s="5" t="s">
        <v>1</v>
      </c>
    </row>
    <row r="460" customHeight="1" spans="1:2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5" t="str">
        <f t="shared" si="2"/>
        <v/>
      </c>
      <c r="AB460" s="5" t="s">
        <v>1</v>
      </c>
    </row>
    <row r="461" customHeight="1" spans="1:2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5" t="str">
        <f t="shared" si="2"/>
        <v/>
      </c>
      <c r="AB461" s="5" t="s">
        <v>1</v>
      </c>
    </row>
    <row r="462" customHeight="1" spans="1:2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5" t="str">
        <f t="shared" si="2"/>
        <v/>
      </c>
      <c r="AB462" s="5" t="s">
        <v>1</v>
      </c>
    </row>
    <row r="463" customHeight="1" spans="1:2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5" t="str">
        <f t="shared" si="2"/>
        <v/>
      </c>
      <c r="AB463" s="5" t="s">
        <v>1</v>
      </c>
    </row>
    <row r="464" customHeight="1" spans="1:2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5" t="str">
        <f t="shared" si="2"/>
        <v/>
      </c>
      <c r="AB464" s="5" t="s">
        <v>1</v>
      </c>
    </row>
    <row r="465" customHeight="1" spans="1:2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5" t="str">
        <f t="shared" si="2"/>
        <v/>
      </c>
      <c r="AB465" s="5" t="s">
        <v>1</v>
      </c>
    </row>
    <row r="466" customHeight="1" spans="1:2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5" t="str">
        <f t="shared" si="2"/>
        <v/>
      </c>
      <c r="AB466" s="5" t="s">
        <v>1</v>
      </c>
    </row>
    <row r="467" customHeight="1" spans="1:2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5" t="str">
        <f t="shared" si="2"/>
        <v/>
      </c>
      <c r="AB467" s="5" t="s">
        <v>1</v>
      </c>
    </row>
    <row r="468" customHeight="1" spans="1:2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5" t="str">
        <f t="shared" si="2"/>
        <v/>
      </c>
      <c r="AB468" s="5" t="s">
        <v>1</v>
      </c>
    </row>
    <row r="469" customHeight="1" spans="1:2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5" t="str">
        <f t="shared" si="2"/>
        <v/>
      </c>
      <c r="AB469" s="5" t="s">
        <v>1</v>
      </c>
    </row>
    <row r="470" customHeight="1" spans="1:2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5" t="str">
        <f t="shared" si="2"/>
        <v/>
      </c>
      <c r="AB470" s="5" t="s">
        <v>1</v>
      </c>
    </row>
    <row r="471" customHeight="1" spans="1:2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5" t="str">
        <f t="shared" si="2"/>
        <v/>
      </c>
      <c r="AB471" s="5" t="s">
        <v>1</v>
      </c>
    </row>
    <row r="472" customHeight="1" spans="1:2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5" t="str">
        <f t="shared" si="2"/>
        <v/>
      </c>
      <c r="AB472" s="5" t="s">
        <v>1</v>
      </c>
    </row>
    <row r="473" customHeight="1" spans="1:2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5" t="str">
        <f t="shared" si="2"/>
        <v/>
      </c>
      <c r="AB473" s="5" t="s">
        <v>1</v>
      </c>
    </row>
    <row r="474" customHeight="1" spans="1:2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5" t="str">
        <f t="shared" si="2"/>
        <v/>
      </c>
      <c r="AB474" s="5" t="s">
        <v>1</v>
      </c>
    </row>
    <row r="475" customHeight="1" spans="1:2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5" t="str">
        <f t="shared" si="2"/>
        <v/>
      </c>
      <c r="AB475" s="5" t="s">
        <v>1</v>
      </c>
    </row>
    <row r="476" customHeight="1" spans="1:2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5" t="str">
        <f t="shared" si="2"/>
        <v/>
      </c>
      <c r="AB476" s="5" t="s">
        <v>1</v>
      </c>
    </row>
    <row r="477" customHeight="1" spans="1:2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5" t="str">
        <f t="shared" si="2"/>
        <v/>
      </c>
      <c r="AB477" s="5" t="s">
        <v>1</v>
      </c>
    </row>
    <row r="478" customHeight="1" spans="1:2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5" t="str">
        <f t="shared" si="2"/>
        <v/>
      </c>
      <c r="AB478" s="5" t="s">
        <v>1</v>
      </c>
    </row>
    <row r="479" customHeight="1" spans="1:2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5" t="str">
        <f t="shared" si="2"/>
        <v/>
      </c>
      <c r="AB479" s="5" t="s">
        <v>1</v>
      </c>
    </row>
    <row r="480" customHeight="1" spans="1:2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5" t="str">
        <f t="shared" si="2"/>
        <v/>
      </c>
      <c r="AB480" s="5" t="s">
        <v>1</v>
      </c>
    </row>
    <row r="481" customHeight="1" spans="1:2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5" t="str">
        <f t="shared" si="2"/>
        <v/>
      </c>
      <c r="AB481" s="5" t="s">
        <v>1</v>
      </c>
    </row>
    <row r="482" customHeight="1" spans="1:2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5" t="str">
        <f t="shared" si="2"/>
        <v/>
      </c>
      <c r="AB482" s="5" t="s">
        <v>1</v>
      </c>
    </row>
    <row r="483" customHeight="1" spans="1:2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5" t="str">
        <f t="shared" si="2"/>
        <v/>
      </c>
      <c r="AB483" s="5" t="s">
        <v>1</v>
      </c>
    </row>
    <row r="484" customHeight="1" spans="1:2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5" t="str">
        <f t="shared" si="2"/>
        <v/>
      </c>
      <c r="AB484" s="5" t="s">
        <v>1</v>
      </c>
    </row>
    <row r="485" customHeight="1" spans="1:2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5" t="str">
        <f t="shared" si="2"/>
        <v/>
      </c>
      <c r="AB485" s="5" t="s">
        <v>1</v>
      </c>
    </row>
    <row r="486" customHeight="1" spans="1:2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5" t="str">
        <f t="shared" si="2"/>
        <v/>
      </c>
      <c r="AB486" s="5" t="s">
        <v>1</v>
      </c>
    </row>
    <row r="487" customHeight="1" spans="1:2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5" t="str">
        <f t="shared" si="2"/>
        <v/>
      </c>
      <c r="AB487" s="5" t="s">
        <v>1</v>
      </c>
    </row>
    <row r="488" customHeight="1" spans="1:2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5" t="str">
        <f t="shared" si="2"/>
        <v/>
      </c>
      <c r="AB488" s="5" t="s">
        <v>1</v>
      </c>
    </row>
    <row r="489" customHeight="1" spans="1:2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5" t="str">
        <f t="shared" si="2"/>
        <v/>
      </c>
      <c r="AB489" s="5" t="s">
        <v>1</v>
      </c>
    </row>
    <row r="490" customHeight="1" spans="1:2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5" t="str">
        <f t="shared" si="2"/>
        <v/>
      </c>
      <c r="AB490" s="5" t="s">
        <v>1</v>
      </c>
    </row>
    <row r="491" customHeight="1" spans="1:2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5" t="str">
        <f t="shared" si="2"/>
        <v/>
      </c>
      <c r="AB491" s="5" t="s">
        <v>1</v>
      </c>
    </row>
    <row r="492" customHeight="1" spans="1:2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5" t="str">
        <f t="shared" si="2"/>
        <v/>
      </c>
      <c r="AB492" s="5" t="s">
        <v>1</v>
      </c>
    </row>
    <row r="493" customHeight="1" spans="1:2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5" t="str">
        <f t="shared" si="2"/>
        <v/>
      </c>
      <c r="AB493" s="5" t="s">
        <v>1</v>
      </c>
    </row>
    <row r="494" customHeight="1" spans="1:2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5" t="str">
        <f t="shared" si="2"/>
        <v/>
      </c>
      <c r="AB494" s="5" t="s">
        <v>1</v>
      </c>
    </row>
    <row r="495" customHeight="1" spans="1:2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5" t="str">
        <f t="shared" si="2"/>
        <v/>
      </c>
      <c r="AB495" s="5" t="s">
        <v>1</v>
      </c>
    </row>
    <row r="496" customHeight="1" spans="1:2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5" t="str">
        <f t="shared" si="2"/>
        <v/>
      </c>
      <c r="AB496" s="5" t="s">
        <v>1</v>
      </c>
    </row>
    <row r="497" customHeight="1" spans="1:2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5" t="str">
        <f t="shared" si="2"/>
        <v/>
      </c>
      <c r="AB497" s="5" t="s">
        <v>1</v>
      </c>
    </row>
    <row r="498" customHeight="1" spans="1:2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5" t="str">
        <f t="shared" si="2"/>
        <v/>
      </c>
      <c r="AB498" s="5" t="s">
        <v>1</v>
      </c>
    </row>
    <row r="499" customHeight="1" spans="1:2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5" t="str">
        <f t="shared" si="2"/>
        <v/>
      </c>
      <c r="AB499" s="5" t="s">
        <v>1</v>
      </c>
    </row>
    <row r="500" customHeight="1" spans="1:2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5" t="str">
        <f t="shared" si="2"/>
        <v/>
      </c>
      <c r="AB500" s="5" t="s">
        <v>1</v>
      </c>
    </row>
    <row r="501" customHeight="1" spans="1:2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5" t="str">
        <f t="shared" si="2"/>
        <v/>
      </c>
      <c r="AB501" s="5" t="s">
        <v>1</v>
      </c>
    </row>
    <row r="502" customHeight="1" spans="1:2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5" t="str">
        <f t="shared" si="2"/>
        <v/>
      </c>
      <c r="AB502" s="5" t="s">
        <v>1</v>
      </c>
    </row>
    <row r="503" customHeight="1" spans="1:2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5" t="str">
        <f t="shared" si="2"/>
        <v/>
      </c>
      <c r="AB503" s="5" t="s">
        <v>1</v>
      </c>
    </row>
    <row r="504" customHeight="1" spans="1:2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5" t="str">
        <f t="shared" si="2"/>
        <v/>
      </c>
      <c r="AB504" s="5" t="s">
        <v>1</v>
      </c>
    </row>
    <row r="505" customHeight="1" spans="1:2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5" t="str">
        <f t="shared" si="2"/>
        <v/>
      </c>
      <c r="AB505" s="5" t="s">
        <v>1</v>
      </c>
    </row>
    <row r="506" customHeight="1" spans="1:2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5" t="str">
        <f t="shared" si="2"/>
        <v/>
      </c>
      <c r="AB506" s="5" t="s">
        <v>1</v>
      </c>
    </row>
    <row r="507" customHeight="1" spans="1:2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5" t="str">
        <f t="shared" si="2"/>
        <v/>
      </c>
      <c r="AB507" s="5" t="s">
        <v>1</v>
      </c>
    </row>
    <row r="508" customHeight="1" spans="1:2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5" t="str">
        <f t="shared" si="2"/>
        <v/>
      </c>
      <c r="AB508" s="5" t="s">
        <v>1</v>
      </c>
    </row>
    <row r="509" customHeight="1" spans="1:2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5" t="str">
        <f t="shared" si="2"/>
        <v/>
      </c>
      <c r="AB509" s="5" t="s">
        <v>1</v>
      </c>
    </row>
    <row r="510" customHeight="1" spans="1:2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5" t="str">
        <f t="shared" si="2"/>
        <v/>
      </c>
      <c r="AB510" s="5" t="s">
        <v>1</v>
      </c>
    </row>
    <row r="511" customHeight="1" spans="1:2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5" t="str">
        <f t="shared" si="2"/>
        <v/>
      </c>
      <c r="AB511" s="5" t="s">
        <v>1</v>
      </c>
    </row>
    <row r="512" customHeight="1" spans="1:2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5" t="str">
        <f t="shared" si="2"/>
        <v/>
      </c>
      <c r="AB512" s="5" t="s">
        <v>1</v>
      </c>
    </row>
    <row r="513" customHeight="1" spans="1:2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5" t="str">
        <f t="shared" si="2"/>
        <v/>
      </c>
      <c r="AB513" s="5" t="s">
        <v>1</v>
      </c>
    </row>
    <row r="514" customHeight="1" spans="1:2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5" t="str">
        <f t="shared" ref="AA514:AA768" si="3">IF(A514&lt;&gt;"",H514&amp;"/"&amp;A514,"")</f>
        <v/>
      </c>
      <c r="AB514" s="5" t="s">
        <v>1</v>
      </c>
    </row>
    <row r="515" customHeight="1" spans="1:2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5" t="str">
        <f t="shared" si="3"/>
        <v/>
      </c>
      <c r="AB515" s="5" t="s">
        <v>1</v>
      </c>
    </row>
    <row r="516" customHeight="1" spans="1:2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5" t="str">
        <f t="shared" si="3"/>
        <v/>
      </c>
      <c r="AB516" s="5" t="s">
        <v>1</v>
      </c>
    </row>
    <row r="517" customHeight="1" spans="1:2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5" t="str">
        <f t="shared" si="3"/>
        <v/>
      </c>
      <c r="AB517" s="5" t="s">
        <v>1</v>
      </c>
    </row>
    <row r="518" customHeight="1" spans="1:2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5" t="str">
        <f t="shared" si="3"/>
        <v/>
      </c>
      <c r="AB518" s="5" t="s">
        <v>1</v>
      </c>
    </row>
    <row r="519" customHeight="1" spans="1:2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5" t="str">
        <f t="shared" si="3"/>
        <v/>
      </c>
      <c r="AB519" s="5" t="s">
        <v>1</v>
      </c>
    </row>
    <row r="520" customHeight="1" spans="1:2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5" t="str">
        <f t="shared" si="3"/>
        <v/>
      </c>
      <c r="AB520" s="5" t="s">
        <v>1</v>
      </c>
    </row>
    <row r="521" customHeight="1" spans="1:2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5" t="str">
        <f t="shared" si="3"/>
        <v/>
      </c>
      <c r="AB521" s="5" t="s">
        <v>1</v>
      </c>
    </row>
    <row r="522" customHeight="1" spans="1:2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5" t="str">
        <f t="shared" si="3"/>
        <v/>
      </c>
      <c r="AB522" s="5" t="s">
        <v>1</v>
      </c>
    </row>
    <row r="523" customHeight="1" spans="1:2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5" t="str">
        <f t="shared" si="3"/>
        <v/>
      </c>
      <c r="AB523" s="5" t="s">
        <v>1</v>
      </c>
    </row>
    <row r="524" customHeight="1" spans="1:2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5" t="str">
        <f t="shared" si="3"/>
        <v/>
      </c>
      <c r="AB524" s="5" t="s">
        <v>1</v>
      </c>
    </row>
    <row r="525" customHeight="1" spans="1:2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5" t="str">
        <f t="shared" si="3"/>
        <v/>
      </c>
      <c r="AB525" s="5" t="s">
        <v>1</v>
      </c>
    </row>
    <row r="526" customHeight="1" spans="1:2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5" t="str">
        <f t="shared" si="3"/>
        <v/>
      </c>
      <c r="AB526" s="5" t="s">
        <v>1</v>
      </c>
    </row>
    <row r="527" customHeight="1" spans="1:2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5" t="str">
        <f t="shared" si="3"/>
        <v/>
      </c>
      <c r="AB527" s="5" t="s">
        <v>1</v>
      </c>
    </row>
    <row r="528" customHeight="1" spans="1: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5" t="str">
        <f t="shared" si="3"/>
        <v/>
      </c>
      <c r="AB528" s="5" t="s">
        <v>1</v>
      </c>
    </row>
    <row r="529" customHeight="1" spans="1:2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5" t="str">
        <f t="shared" si="3"/>
        <v/>
      </c>
      <c r="AB529" s="5" t="s">
        <v>1</v>
      </c>
    </row>
    <row r="530" customHeight="1" spans="1:2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5" t="str">
        <f t="shared" si="3"/>
        <v/>
      </c>
      <c r="AB530" s="5" t="s">
        <v>1</v>
      </c>
    </row>
    <row r="531" customHeight="1" spans="1:2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5" t="str">
        <f t="shared" si="3"/>
        <v/>
      </c>
      <c r="AB531" s="5" t="s">
        <v>1</v>
      </c>
    </row>
    <row r="532" customHeight="1" spans="1:2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5" t="str">
        <f t="shared" si="3"/>
        <v/>
      </c>
      <c r="AB532" s="5" t="s">
        <v>1</v>
      </c>
    </row>
    <row r="533" customHeight="1" spans="1:2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5" t="str">
        <f t="shared" si="3"/>
        <v/>
      </c>
      <c r="AB533" s="5" t="s">
        <v>1</v>
      </c>
    </row>
    <row r="534" customHeight="1" spans="1:2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5" t="str">
        <f t="shared" si="3"/>
        <v/>
      </c>
      <c r="AB534" s="5" t="s">
        <v>1</v>
      </c>
    </row>
    <row r="535" customHeight="1" spans="1:2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5" t="str">
        <f t="shared" si="3"/>
        <v/>
      </c>
      <c r="AB535" s="5" t="s">
        <v>1</v>
      </c>
    </row>
    <row r="536" customHeight="1" spans="1:2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5" t="str">
        <f t="shared" si="3"/>
        <v/>
      </c>
      <c r="AB536" s="5" t="s">
        <v>1</v>
      </c>
    </row>
    <row r="537" customHeight="1" spans="1:2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5" t="str">
        <f t="shared" si="3"/>
        <v/>
      </c>
      <c r="AB537" s="5" t="s">
        <v>1</v>
      </c>
    </row>
    <row r="538" customHeight="1" spans="1:2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5" t="str">
        <f t="shared" si="3"/>
        <v/>
      </c>
      <c r="AB538" s="5" t="s">
        <v>1</v>
      </c>
    </row>
    <row r="539" customHeight="1" spans="1:2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5" t="str">
        <f t="shared" si="3"/>
        <v/>
      </c>
      <c r="AB539" s="5" t="s">
        <v>1</v>
      </c>
    </row>
    <row r="540" customHeight="1" spans="1:2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5" t="str">
        <f t="shared" si="3"/>
        <v/>
      </c>
      <c r="AB540" s="5" t="s">
        <v>1</v>
      </c>
    </row>
    <row r="541" customHeight="1" spans="1:2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5" t="str">
        <f t="shared" si="3"/>
        <v/>
      </c>
      <c r="AB541" s="5" t="s">
        <v>1</v>
      </c>
    </row>
    <row r="542" customHeight="1" spans="1:2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5" t="str">
        <f t="shared" si="3"/>
        <v/>
      </c>
      <c r="AB542" s="5" t="s">
        <v>1</v>
      </c>
    </row>
    <row r="543" customHeight="1" spans="1:2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5" t="str">
        <f t="shared" si="3"/>
        <v/>
      </c>
      <c r="AB543" s="5" t="s">
        <v>1</v>
      </c>
    </row>
    <row r="544" customHeight="1" spans="1:2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5" t="str">
        <f t="shared" si="3"/>
        <v/>
      </c>
      <c r="AB544" s="5" t="s">
        <v>1</v>
      </c>
    </row>
    <row r="545" customHeight="1" spans="1:2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5" t="str">
        <f t="shared" si="3"/>
        <v/>
      </c>
      <c r="AB545" s="5" t="s">
        <v>1</v>
      </c>
    </row>
    <row r="546" customHeight="1" spans="1:2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5" t="str">
        <f t="shared" si="3"/>
        <v/>
      </c>
      <c r="AB546" s="5" t="s">
        <v>1</v>
      </c>
    </row>
    <row r="547" customHeight="1" spans="1:2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5" t="str">
        <f t="shared" si="3"/>
        <v/>
      </c>
      <c r="AB547" s="5" t="s">
        <v>1</v>
      </c>
    </row>
    <row r="548" customHeight="1" spans="1:2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5" t="str">
        <f t="shared" si="3"/>
        <v/>
      </c>
      <c r="AB548" s="5" t="s">
        <v>1</v>
      </c>
    </row>
    <row r="549" customHeight="1" spans="1:2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5" t="str">
        <f t="shared" si="3"/>
        <v/>
      </c>
      <c r="AB549" s="5" t="s">
        <v>1</v>
      </c>
    </row>
    <row r="550" customHeight="1" spans="1:2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5" t="str">
        <f t="shared" si="3"/>
        <v/>
      </c>
      <c r="AB550" s="5" t="s">
        <v>1</v>
      </c>
    </row>
    <row r="551" customHeight="1" spans="1:2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5" t="str">
        <f t="shared" si="3"/>
        <v/>
      </c>
      <c r="AB551" s="5" t="s">
        <v>1</v>
      </c>
    </row>
    <row r="552" customHeight="1" spans="1:2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5" t="str">
        <f t="shared" si="3"/>
        <v/>
      </c>
      <c r="AB552" s="5" t="s">
        <v>1</v>
      </c>
    </row>
    <row r="553" customHeight="1" spans="1:2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5" t="str">
        <f t="shared" si="3"/>
        <v/>
      </c>
      <c r="AB553" s="5" t="s">
        <v>1</v>
      </c>
    </row>
    <row r="554" customHeight="1" spans="1:2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5" t="str">
        <f t="shared" si="3"/>
        <v/>
      </c>
      <c r="AB554" s="5" t="s">
        <v>1</v>
      </c>
    </row>
    <row r="555" customHeight="1" spans="1:2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5" t="str">
        <f t="shared" si="3"/>
        <v/>
      </c>
      <c r="AB555" s="5" t="s">
        <v>1</v>
      </c>
    </row>
    <row r="556" customHeight="1" spans="1:2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5" t="str">
        <f t="shared" si="3"/>
        <v/>
      </c>
      <c r="AB556" s="5" t="s">
        <v>1</v>
      </c>
    </row>
    <row r="557" customHeight="1" spans="1:2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5" t="str">
        <f t="shared" si="3"/>
        <v/>
      </c>
      <c r="AB557" s="5" t="s">
        <v>1</v>
      </c>
    </row>
    <row r="558" customHeight="1" spans="1:2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5" t="str">
        <f t="shared" si="3"/>
        <v/>
      </c>
      <c r="AB558" s="5" t="s">
        <v>1</v>
      </c>
    </row>
    <row r="559" customHeight="1" spans="1:2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5" t="str">
        <f t="shared" si="3"/>
        <v/>
      </c>
      <c r="AB559" s="5" t="s">
        <v>1</v>
      </c>
    </row>
    <row r="560" customHeight="1" spans="1:2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5" t="str">
        <f t="shared" si="3"/>
        <v/>
      </c>
      <c r="AB560" s="5" t="s">
        <v>1</v>
      </c>
    </row>
    <row r="561" customHeight="1" spans="1:2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5" t="str">
        <f t="shared" si="3"/>
        <v/>
      </c>
      <c r="AB561" s="5" t="s">
        <v>1</v>
      </c>
    </row>
    <row r="562" customHeight="1" spans="1:2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5" t="str">
        <f t="shared" si="3"/>
        <v/>
      </c>
      <c r="AB562" s="5" t="s">
        <v>1</v>
      </c>
    </row>
    <row r="563" customHeight="1" spans="1:2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5" t="str">
        <f t="shared" si="3"/>
        <v/>
      </c>
      <c r="AB563" s="5" t="s">
        <v>1</v>
      </c>
    </row>
    <row r="564" customHeight="1" spans="1:2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5" t="str">
        <f t="shared" si="3"/>
        <v/>
      </c>
      <c r="AB564" s="5" t="s">
        <v>1</v>
      </c>
    </row>
    <row r="565" customHeight="1" spans="1:2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5" t="str">
        <f t="shared" si="3"/>
        <v/>
      </c>
      <c r="AB565" s="5" t="s">
        <v>1</v>
      </c>
    </row>
    <row r="566" customHeight="1" spans="1:2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5" t="str">
        <f t="shared" si="3"/>
        <v/>
      </c>
      <c r="AB566" s="5" t="s">
        <v>1</v>
      </c>
    </row>
    <row r="567" customHeight="1" spans="1:2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5" t="str">
        <f t="shared" si="3"/>
        <v/>
      </c>
      <c r="AB567" s="5" t="s">
        <v>1</v>
      </c>
    </row>
    <row r="568" customHeight="1" spans="1:2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5" t="str">
        <f t="shared" si="3"/>
        <v/>
      </c>
      <c r="AB568" s="5" t="s">
        <v>1</v>
      </c>
    </row>
    <row r="569" customHeight="1" spans="1:2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5" t="str">
        <f t="shared" si="3"/>
        <v/>
      </c>
      <c r="AB569" s="5" t="s">
        <v>1</v>
      </c>
    </row>
    <row r="570" customHeight="1" spans="1:2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5" t="str">
        <f t="shared" si="3"/>
        <v/>
      </c>
      <c r="AB570" s="5" t="s">
        <v>1</v>
      </c>
    </row>
    <row r="571" customHeight="1" spans="1:2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5" t="str">
        <f t="shared" si="3"/>
        <v/>
      </c>
      <c r="AB571" s="5" t="s">
        <v>1</v>
      </c>
    </row>
    <row r="572" customHeight="1" spans="1:2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5" t="str">
        <f t="shared" si="3"/>
        <v/>
      </c>
      <c r="AB572" s="5" t="s">
        <v>1</v>
      </c>
    </row>
    <row r="573" customHeight="1" spans="1:2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5" t="str">
        <f t="shared" si="3"/>
        <v/>
      </c>
      <c r="AB573" s="5" t="s">
        <v>1</v>
      </c>
    </row>
    <row r="574" customHeight="1" spans="1:2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5" t="str">
        <f t="shared" si="3"/>
        <v/>
      </c>
      <c r="AB574" s="5" t="s">
        <v>1</v>
      </c>
    </row>
    <row r="575" customHeight="1" spans="1:2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5" t="str">
        <f t="shared" si="3"/>
        <v/>
      </c>
      <c r="AB575" s="5" t="s">
        <v>1</v>
      </c>
    </row>
    <row r="576" customHeight="1" spans="1:2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5" t="str">
        <f t="shared" si="3"/>
        <v/>
      </c>
      <c r="AB576" s="5" t="s">
        <v>1</v>
      </c>
    </row>
    <row r="577" customHeight="1" spans="1:2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5" t="str">
        <f t="shared" si="3"/>
        <v/>
      </c>
      <c r="AB577" s="5" t="s">
        <v>1</v>
      </c>
    </row>
    <row r="578" customHeight="1" spans="1:2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5" t="str">
        <f t="shared" si="3"/>
        <v/>
      </c>
      <c r="AB578" s="5" t="s">
        <v>1</v>
      </c>
    </row>
    <row r="579" customHeight="1" spans="1:2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5" t="str">
        <f t="shared" si="3"/>
        <v/>
      </c>
      <c r="AB579" s="5" t="s">
        <v>1</v>
      </c>
    </row>
    <row r="580" customHeight="1" spans="1:2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5" t="str">
        <f t="shared" si="3"/>
        <v/>
      </c>
      <c r="AB580" s="5" t="s">
        <v>1</v>
      </c>
    </row>
    <row r="581" customHeight="1" spans="1:2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5" t="str">
        <f t="shared" si="3"/>
        <v/>
      </c>
      <c r="AB581" s="5" t="s">
        <v>1</v>
      </c>
    </row>
    <row r="582" customHeight="1" spans="1:2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5" t="str">
        <f t="shared" si="3"/>
        <v/>
      </c>
      <c r="AB582" s="5" t="s">
        <v>1</v>
      </c>
    </row>
    <row r="583" customHeight="1" spans="1:2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5" t="str">
        <f t="shared" si="3"/>
        <v/>
      </c>
      <c r="AB583" s="5" t="s">
        <v>1</v>
      </c>
    </row>
    <row r="584" customHeight="1" spans="1:2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5" t="str">
        <f t="shared" si="3"/>
        <v/>
      </c>
      <c r="AB584" s="5" t="s">
        <v>1</v>
      </c>
    </row>
    <row r="585" customHeight="1" spans="1:2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5" t="str">
        <f t="shared" si="3"/>
        <v/>
      </c>
      <c r="AB585" s="5" t="s">
        <v>1</v>
      </c>
    </row>
    <row r="586" customHeight="1" spans="1:2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5" t="str">
        <f t="shared" si="3"/>
        <v/>
      </c>
      <c r="AB586" s="5" t="s">
        <v>1</v>
      </c>
    </row>
    <row r="587" customHeight="1" spans="1:2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5" t="str">
        <f t="shared" si="3"/>
        <v/>
      </c>
      <c r="AB587" s="5" t="s">
        <v>1</v>
      </c>
    </row>
    <row r="588" customHeight="1" spans="1:2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5" t="str">
        <f t="shared" si="3"/>
        <v/>
      </c>
      <c r="AB588" s="5" t="s">
        <v>1</v>
      </c>
    </row>
    <row r="589" customHeight="1" spans="1:2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5" t="str">
        <f t="shared" si="3"/>
        <v/>
      </c>
      <c r="AB589" s="5" t="s">
        <v>1</v>
      </c>
    </row>
    <row r="590" customHeight="1" spans="1:2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5" t="str">
        <f t="shared" si="3"/>
        <v/>
      </c>
      <c r="AB590" s="5" t="s">
        <v>1</v>
      </c>
    </row>
    <row r="591" customHeight="1" spans="1:2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5" t="str">
        <f t="shared" si="3"/>
        <v/>
      </c>
      <c r="AB591" s="5" t="s">
        <v>1</v>
      </c>
    </row>
    <row r="592" customHeight="1" spans="1:2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5" t="str">
        <f t="shared" si="3"/>
        <v/>
      </c>
      <c r="AB592" s="5" t="s">
        <v>1</v>
      </c>
    </row>
    <row r="593" customHeight="1" spans="1:2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5" t="str">
        <f t="shared" si="3"/>
        <v/>
      </c>
      <c r="AB593" s="5" t="s">
        <v>1</v>
      </c>
    </row>
    <row r="594" customHeight="1" spans="1:2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5" t="str">
        <f t="shared" si="3"/>
        <v/>
      </c>
      <c r="AB594" s="5" t="s">
        <v>1</v>
      </c>
    </row>
    <row r="595" customHeight="1" spans="1:2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5" t="str">
        <f t="shared" si="3"/>
        <v/>
      </c>
      <c r="AB595" s="5" t="s">
        <v>1</v>
      </c>
    </row>
    <row r="596" customHeight="1" spans="1:2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5" t="str">
        <f t="shared" si="3"/>
        <v/>
      </c>
      <c r="AB596" s="5" t="s">
        <v>1</v>
      </c>
    </row>
    <row r="597" customHeight="1" spans="1:2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5" t="str">
        <f t="shared" si="3"/>
        <v/>
      </c>
      <c r="AB597" s="5" t="s">
        <v>1</v>
      </c>
    </row>
    <row r="598" customHeight="1" spans="1:2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5" t="str">
        <f t="shared" si="3"/>
        <v/>
      </c>
      <c r="AB598" s="5" t="s">
        <v>1</v>
      </c>
    </row>
    <row r="599" customHeight="1" spans="1:2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5" t="str">
        <f t="shared" si="3"/>
        <v/>
      </c>
      <c r="AB599" s="5" t="s">
        <v>1</v>
      </c>
    </row>
    <row r="600" customHeight="1" spans="1:2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5" t="str">
        <f t="shared" si="3"/>
        <v/>
      </c>
      <c r="AB600" s="5" t="s">
        <v>1</v>
      </c>
    </row>
    <row r="601" customHeight="1" spans="1:2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5" t="str">
        <f t="shared" si="3"/>
        <v/>
      </c>
      <c r="AB601" s="5" t="s">
        <v>1</v>
      </c>
    </row>
    <row r="602" customHeight="1" spans="1:2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5" t="str">
        <f t="shared" si="3"/>
        <v/>
      </c>
      <c r="AB602" s="5" t="s">
        <v>1</v>
      </c>
    </row>
    <row r="603" customHeight="1" spans="1:2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5" t="str">
        <f t="shared" si="3"/>
        <v/>
      </c>
      <c r="AB603" s="5" t="s">
        <v>1</v>
      </c>
    </row>
    <row r="604" customHeight="1" spans="1:2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5" t="str">
        <f t="shared" si="3"/>
        <v/>
      </c>
      <c r="AB604" s="5" t="s">
        <v>1</v>
      </c>
    </row>
    <row r="605" customHeight="1" spans="1:2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5" t="str">
        <f t="shared" si="3"/>
        <v/>
      </c>
      <c r="AB605" s="5" t="s">
        <v>1</v>
      </c>
    </row>
    <row r="606" customHeight="1" spans="1:2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5" t="str">
        <f t="shared" si="3"/>
        <v/>
      </c>
      <c r="AB606" s="5" t="s">
        <v>1</v>
      </c>
    </row>
    <row r="607" customHeight="1" spans="1:2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5" t="str">
        <f t="shared" si="3"/>
        <v/>
      </c>
      <c r="AB607" s="5" t="s">
        <v>1</v>
      </c>
    </row>
    <row r="608" customHeight="1" spans="1:2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5" t="str">
        <f t="shared" si="3"/>
        <v/>
      </c>
      <c r="AB608" s="5" t="s">
        <v>1</v>
      </c>
    </row>
    <row r="609" customHeight="1" spans="1:2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5" t="str">
        <f t="shared" si="3"/>
        <v/>
      </c>
      <c r="AB609" s="5" t="s">
        <v>1</v>
      </c>
    </row>
    <row r="610" customHeight="1" spans="1:2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5" t="str">
        <f t="shared" si="3"/>
        <v/>
      </c>
      <c r="AB610" s="5" t="s">
        <v>1</v>
      </c>
    </row>
    <row r="611" customHeight="1" spans="1:2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5" t="str">
        <f t="shared" si="3"/>
        <v/>
      </c>
      <c r="AB611" s="5" t="s">
        <v>1</v>
      </c>
    </row>
    <row r="612" customHeight="1" spans="1:2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5" t="str">
        <f t="shared" si="3"/>
        <v/>
      </c>
      <c r="AB612" s="5" t="s">
        <v>1</v>
      </c>
    </row>
    <row r="613" customHeight="1" spans="1:2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5" t="str">
        <f t="shared" si="3"/>
        <v/>
      </c>
      <c r="AB613" s="5" t="s">
        <v>1</v>
      </c>
    </row>
    <row r="614" customHeight="1" spans="1:2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5" t="str">
        <f t="shared" si="3"/>
        <v/>
      </c>
      <c r="AB614" s="5" t="s">
        <v>1</v>
      </c>
    </row>
    <row r="615" customHeight="1" spans="1:2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5" t="str">
        <f t="shared" si="3"/>
        <v/>
      </c>
      <c r="AB615" s="5" t="s">
        <v>1</v>
      </c>
    </row>
    <row r="616" customHeight="1" spans="1:2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5" t="str">
        <f t="shared" si="3"/>
        <v/>
      </c>
      <c r="AB616" s="5" t="s">
        <v>1</v>
      </c>
    </row>
    <row r="617" customHeight="1" spans="1:2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5" t="str">
        <f t="shared" si="3"/>
        <v/>
      </c>
      <c r="AB617" s="5" t="s">
        <v>1</v>
      </c>
    </row>
    <row r="618" customHeight="1" spans="1:2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5" t="str">
        <f t="shared" si="3"/>
        <v/>
      </c>
      <c r="AB618" s="5" t="s">
        <v>1</v>
      </c>
    </row>
    <row r="619" customHeight="1" spans="1:2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5" t="str">
        <f t="shared" si="3"/>
        <v/>
      </c>
      <c r="AB619" s="5" t="s">
        <v>1</v>
      </c>
    </row>
    <row r="620" customHeight="1" spans="1:2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5" t="str">
        <f t="shared" si="3"/>
        <v/>
      </c>
      <c r="AB620" s="5" t="s">
        <v>1</v>
      </c>
    </row>
    <row r="621" customHeight="1" spans="1:2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5" t="str">
        <f t="shared" si="3"/>
        <v/>
      </c>
      <c r="AB621" s="5" t="s">
        <v>1</v>
      </c>
    </row>
    <row r="622" customHeight="1" spans="1:2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5" t="str">
        <f t="shared" si="3"/>
        <v/>
      </c>
      <c r="AB622" s="5" t="s">
        <v>1</v>
      </c>
    </row>
    <row r="623" customHeight="1" spans="1:2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5" t="str">
        <f t="shared" si="3"/>
        <v/>
      </c>
      <c r="AB623" s="5" t="s">
        <v>1</v>
      </c>
    </row>
    <row r="624" customHeight="1" spans="1:2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5" t="str">
        <f t="shared" si="3"/>
        <v/>
      </c>
      <c r="AB624" s="5" t="s">
        <v>1</v>
      </c>
    </row>
    <row r="625" customHeight="1" spans="1:2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5" t="str">
        <f t="shared" si="3"/>
        <v/>
      </c>
      <c r="AB625" s="5" t="s">
        <v>1</v>
      </c>
    </row>
    <row r="626" customHeight="1" spans="1:2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5" t="str">
        <f t="shared" si="3"/>
        <v/>
      </c>
      <c r="AB626" s="5" t="s">
        <v>1</v>
      </c>
    </row>
    <row r="627" customHeight="1" spans="1:2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5" t="str">
        <f t="shared" si="3"/>
        <v/>
      </c>
      <c r="AB627" s="5" t="s">
        <v>1</v>
      </c>
    </row>
    <row r="628" customHeight="1" spans="1: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5" t="str">
        <f t="shared" si="3"/>
        <v/>
      </c>
      <c r="AB628" s="5" t="s">
        <v>1</v>
      </c>
    </row>
    <row r="629" customHeight="1" spans="1:2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5" t="str">
        <f t="shared" si="3"/>
        <v/>
      </c>
      <c r="AB629" s="5" t="s">
        <v>1</v>
      </c>
    </row>
    <row r="630" customHeight="1" spans="1:2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5" t="str">
        <f t="shared" si="3"/>
        <v/>
      </c>
      <c r="AB630" s="5" t="s">
        <v>1</v>
      </c>
    </row>
    <row r="631" customHeight="1" spans="1:2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5" t="str">
        <f t="shared" si="3"/>
        <v/>
      </c>
      <c r="AB631" s="5" t="s">
        <v>1</v>
      </c>
    </row>
    <row r="632" customHeight="1" spans="1:2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5" t="str">
        <f t="shared" si="3"/>
        <v/>
      </c>
      <c r="AB632" s="5" t="s">
        <v>1</v>
      </c>
    </row>
    <row r="633" customHeight="1" spans="1:2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5" t="str">
        <f t="shared" si="3"/>
        <v/>
      </c>
      <c r="AB633" s="5" t="s">
        <v>1</v>
      </c>
    </row>
    <row r="634" customHeight="1" spans="1:2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5" t="str">
        <f t="shared" si="3"/>
        <v/>
      </c>
      <c r="AB634" s="5" t="s">
        <v>1</v>
      </c>
    </row>
    <row r="635" customHeight="1" spans="1:2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5" t="str">
        <f t="shared" si="3"/>
        <v/>
      </c>
      <c r="AB635" s="5" t="s">
        <v>1</v>
      </c>
    </row>
    <row r="636" customHeight="1" spans="1:2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5" t="str">
        <f t="shared" si="3"/>
        <v/>
      </c>
      <c r="AB636" s="5" t="s">
        <v>1</v>
      </c>
    </row>
    <row r="637" customHeight="1" spans="1:2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5" t="str">
        <f t="shared" si="3"/>
        <v/>
      </c>
      <c r="AB637" s="5" t="s">
        <v>1</v>
      </c>
    </row>
    <row r="638" customHeight="1" spans="1:2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5" t="str">
        <f t="shared" si="3"/>
        <v/>
      </c>
      <c r="AB638" s="5" t="s">
        <v>1</v>
      </c>
    </row>
    <row r="639" customHeight="1" spans="1:2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5" t="str">
        <f t="shared" si="3"/>
        <v/>
      </c>
      <c r="AB639" s="5" t="s">
        <v>1</v>
      </c>
    </row>
    <row r="640" customHeight="1" spans="1:2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5" t="str">
        <f t="shared" si="3"/>
        <v/>
      </c>
      <c r="AB640" s="5" t="s">
        <v>1</v>
      </c>
    </row>
    <row r="641" customHeight="1" spans="1:2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5" t="str">
        <f t="shared" si="3"/>
        <v/>
      </c>
      <c r="AB641" s="5" t="s">
        <v>1</v>
      </c>
    </row>
    <row r="642" customHeight="1" spans="1:2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5" t="str">
        <f t="shared" si="3"/>
        <v/>
      </c>
      <c r="AB642" s="5" t="s">
        <v>1</v>
      </c>
    </row>
    <row r="643" customHeight="1" spans="1:2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5" t="str">
        <f t="shared" si="3"/>
        <v/>
      </c>
      <c r="AB643" s="5" t="s">
        <v>1</v>
      </c>
    </row>
    <row r="644" customHeight="1" spans="1:2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5" t="str">
        <f t="shared" si="3"/>
        <v/>
      </c>
      <c r="AB644" s="5" t="s">
        <v>1</v>
      </c>
    </row>
    <row r="645" customHeight="1" spans="1:2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5" t="str">
        <f t="shared" si="3"/>
        <v/>
      </c>
      <c r="AB645" s="5" t="s">
        <v>1</v>
      </c>
    </row>
    <row r="646" customHeight="1" spans="1:2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5" t="str">
        <f t="shared" si="3"/>
        <v/>
      </c>
      <c r="AB646" s="5" t="s">
        <v>1</v>
      </c>
    </row>
    <row r="647" customHeight="1" spans="1:2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5" t="str">
        <f t="shared" si="3"/>
        <v/>
      </c>
      <c r="AB647" s="5" t="s">
        <v>1</v>
      </c>
    </row>
    <row r="648" customHeight="1" spans="1:2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5" t="str">
        <f t="shared" si="3"/>
        <v/>
      </c>
      <c r="AB648" s="5" t="s">
        <v>1</v>
      </c>
    </row>
    <row r="649" customHeight="1" spans="1:2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5" t="str">
        <f t="shared" si="3"/>
        <v/>
      </c>
      <c r="AB649" s="5" t="s">
        <v>1</v>
      </c>
    </row>
    <row r="650" customHeight="1" spans="1:2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5" t="str">
        <f t="shared" si="3"/>
        <v/>
      </c>
      <c r="AB650" s="5" t="s">
        <v>1</v>
      </c>
    </row>
    <row r="651" customHeight="1" spans="1:2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5" t="str">
        <f t="shared" si="3"/>
        <v/>
      </c>
      <c r="AB651" s="5" t="s">
        <v>1</v>
      </c>
    </row>
    <row r="652" customHeight="1" spans="1:2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5" t="str">
        <f t="shared" si="3"/>
        <v/>
      </c>
      <c r="AB652" s="5" t="s">
        <v>1</v>
      </c>
    </row>
    <row r="653" customHeight="1" spans="1:2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5" t="str">
        <f t="shared" si="3"/>
        <v/>
      </c>
      <c r="AB653" s="5" t="s">
        <v>1</v>
      </c>
    </row>
    <row r="654" customHeight="1" spans="1:2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5" t="str">
        <f t="shared" si="3"/>
        <v/>
      </c>
      <c r="AB654" s="5" t="s">
        <v>1</v>
      </c>
    </row>
    <row r="655" customHeight="1" spans="1:2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5" t="str">
        <f t="shared" si="3"/>
        <v/>
      </c>
      <c r="AB655" s="5" t="s">
        <v>1</v>
      </c>
    </row>
    <row r="656" customHeight="1" spans="1:2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5" t="str">
        <f t="shared" si="3"/>
        <v/>
      </c>
      <c r="AB656" s="5" t="s">
        <v>1</v>
      </c>
    </row>
    <row r="657" customHeight="1" spans="1:2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5" t="str">
        <f t="shared" si="3"/>
        <v/>
      </c>
      <c r="AB657" s="5" t="s">
        <v>1</v>
      </c>
    </row>
    <row r="658" customHeight="1" spans="1:2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5" t="str">
        <f t="shared" si="3"/>
        <v/>
      </c>
      <c r="AB658" s="5" t="s">
        <v>1</v>
      </c>
    </row>
    <row r="659" customHeight="1" spans="1:2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5" t="str">
        <f t="shared" si="3"/>
        <v/>
      </c>
      <c r="AB659" s="5" t="s">
        <v>1</v>
      </c>
    </row>
    <row r="660" customHeight="1" spans="1:2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5" t="str">
        <f t="shared" si="3"/>
        <v/>
      </c>
      <c r="AB660" s="5" t="s">
        <v>1</v>
      </c>
    </row>
    <row r="661" customHeight="1" spans="1:2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5" t="str">
        <f t="shared" si="3"/>
        <v/>
      </c>
      <c r="AB661" s="5" t="s">
        <v>1</v>
      </c>
    </row>
    <row r="662" customHeight="1" spans="1:2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5" t="str">
        <f t="shared" si="3"/>
        <v/>
      </c>
      <c r="AB662" s="5" t="s">
        <v>1</v>
      </c>
    </row>
    <row r="663" customHeight="1" spans="1:2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5" t="str">
        <f t="shared" si="3"/>
        <v/>
      </c>
      <c r="AB663" s="5" t="s">
        <v>1</v>
      </c>
    </row>
    <row r="664" customHeight="1" spans="1:2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5" t="str">
        <f t="shared" si="3"/>
        <v/>
      </c>
      <c r="AB664" s="5" t="s">
        <v>1</v>
      </c>
    </row>
    <row r="665" customHeight="1" spans="1:2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5" t="str">
        <f t="shared" si="3"/>
        <v/>
      </c>
      <c r="AB665" s="5" t="s">
        <v>1</v>
      </c>
    </row>
    <row r="666" customHeight="1" spans="1:2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5" t="str">
        <f t="shared" si="3"/>
        <v/>
      </c>
      <c r="AB666" s="5" t="s">
        <v>1</v>
      </c>
    </row>
    <row r="667" customHeight="1" spans="1:2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5" t="str">
        <f t="shared" si="3"/>
        <v/>
      </c>
      <c r="AB667" s="5" t="s">
        <v>1</v>
      </c>
    </row>
    <row r="668" customHeight="1" spans="1:2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5" t="str">
        <f t="shared" si="3"/>
        <v/>
      </c>
      <c r="AB668" s="5" t="s">
        <v>1</v>
      </c>
    </row>
    <row r="669" customHeight="1" spans="1:2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5" t="str">
        <f t="shared" si="3"/>
        <v/>
      </c>
      <c r="AB669" s="5" t="s">
        <v>1</v>
      </c>
    </row>
    <row r="670" customHeight="1" spans="1:2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5" t="str">
        <f t="shared" si="3"/>
        <v/>
      </c>
      <c r="AB670" s="5" t="s">
        <v>1</v>
      </c>
    </row>
    <row r="671" customHeight="1" spans="1:2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5" t="str">
        <f t="shared" si="3"/>
        <v/>
      </c>
      <c r="AB671" s="5" t="s">
        <v>1</v>
      </c>
    </row>
    <row r="672" customHeight="1" spans="1:2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5" t="str">
        <f t="shared" si="3"/>
        <v/>
      </c>
      <c r="AB672" s="5" t="s">
        <v>1</v>
      </c>
    </row>
    <row r="673" customHeight="1" spans="1:2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5" t="str">
        <f t="shared" si="3"/>
        <v/>
      </c>
      <c r="AB673" s="5" t="s">
        <v>1</v>
      </c>
    </row>
    <row r="674" customHeight="1" spans="1:2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5" t="str">
        <f t="shared" si="3"/>
        <v/>
      </c>
      <c r="AB674" s="5" t="s">
        <v>1</v>
      </c>
    </row>
    <row r="675" customHeight="1" spans="1:2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5" t="str">
        <f t="shared" si="3"/>
        <v/>
      </c>
      <c r="AB675" s="5" t="s">
        <v>1</v>
      </c>
    </row>
    <row r="676" customHeight="1" spans="1:2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5" t="str">
        <f t="shared" si="3"/>
        <v/>
      </c>
      <c r="AB676" s="5" t="s">
        <v>1</v>
      </c>
    </row>
    <row r="677" customHeight="1" spans="1:2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5" t="str">
        <f t="shared" si="3"/>
        <v/>
      </c>
      <c r="AB677" s="5" t="s">
        <v>1</v>
      </c>
    </row>
    <row r="678" customHeight="1" spans="1:2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5" t="str">
        <f t="shared" si="3"/>
        <v/>
      </c>
      <c r="AB678" s="5" t="s">
        <v>1</v>
      </c>
    </row>
    <row r="679" customHeight="1" spans="1:2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5" t="str">
        <f t="shared" si="3"/>
        <v/>
      </c>
      <c r="AB679" s="5" t="s">
        <v>1</v>
      </c>
    </row>
    <row r="680" customHeight="1" spans="1:2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5" t="str">
        <f t="shared" si="3"/>
        <v/>
      </c>
      <c r="AB680" s="5" t="s">
        <v>1</v>
      </c>
    </row>
    <row r="681" customHeight="1" spans="1:2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5" t="str">
        <f t="shared" si="3"/>
        <v/>
      </c>
      <c r="AB681" s="5" t="s">
        <v>1</v>
      </c>
    </row>
    <row r="682" customHeight="1" spans="1:2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5" t="str">
        <f t="shared" si="3"/>
        <v/>
      </c>
      <c r="AB682" s="5" t="s">
        <v>1</v>
      </c>
    </row>
    <row r="683" customHeight="1" spans="1:2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5" t="str">
        <f t="shared" si="3"/>
        <v/>
      </c>
      <c r="AB683" s="5" t="s">
        <v>1</v>
      </c>
    </row>
    <row r="684" customHeight="1" spans="1:2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5" t="str">
        <f t="shared" si="3"/>
        <v/>
      </c>
      <c r="AB684" s="5" t="s">
        <v>1</v>
      </c>
    </row>
    <row r="685" customHeight="1" spans="1:2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5" t="str">
        <f t="shared" si="3"/>
        <v/>
      </c>
      <c r="AB685" s="5" t="s">
        <v>1</v>
      </c>
    </row>
    <row r="686" customHeight="1" spans="1:2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5" t="str">
        <f t="shared" si="3"/>
        <v/>
      </c>
      <c r="AB686" s="5" t="s">
        <v>1</v>
      </c>
    </row>
    <row r="687" customHeight="1" spans="1:2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5" t="str">
        <f t="shared" si="3"/>
        <v/>
      </c>
      <c r="AB687" s="5" t="s">
        <v>1</v>
      </c>
    </row>
    <row r="688" customHeight="1" spans="1:2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5" t="str">
        <f t="shared" si="3"/>
        <v/>
      </c>
      <c r="AB688" s="5" t="s">
        <v>1</v>
      </c>
    </row>
    <row r="689" customHeight="1" spans="1:2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5" t="str">
        <f t="shared" si="3"/>
        <v/>
      </c>
      <c r="AB689" s="5" t="s">
        <v>1</v>
      </c>
    </row>
    <row r="690" customHeight="1" spans="1:2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5" t="str">
        <f t="shared" si="3"/>
        <v/>
      </c>
      <c r="AB690" s="5" t="s">
        <v>1</v>
      </c>
    </row>
    <row r="691" customHeight="1" spans="1:2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5" t="str">
        <f t="shared" si="3"/>
        <v/>
      </c>
      <c r="AB691" s="5" t="s">
        <v>1</v>
      </c>
    </row>
    <row r="692" customHeight="1" spans="1:2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5" t="str">
        <f t="shared" si="3"/>
        <v/>
      </c>
      <c r="AB692" s="5" t="s">
        <v>1</v>
      </c>
    </row>
    <row r="693" customHeight="1" spans="1:2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5" t="str">
        <f t="shared" si="3"/>
        <v/>
      </c>
      <c r="AB693" s="5" t="s">
        <v>1</v>
      </c>
    </row>
    <row r="694" customHeight="1" spans="1:2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5" t="str">
        <f t="shared" si="3"/>
        <v/>
      </c>
      <c r="AB694" s="5" t="s">
        <v>1</v>
      </c>
    </row>
    <row r="695" customHeight="1" spans="1:2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5" t="str">
        <f t="shared" si="3"/>
        <v/>
      </c>
      <c r="AB695" s="5" t="s">
        <v>1</v>
      </c>
    </row>
    <row r="696" customHeight="1" spans="1:2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5" t="str">
        <f t="shared" si="3"/>
        <v/>
      </c>
      <c r="AB696" s="5" t="s">
        <v>1</v>
      </c>
    </row>
    <row r="697" customHeight="1" spans="1:2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5" t="str">
        <f t="shared" si="3"/>
        <v/>
      </c>
      <c r="AB697" s="5" t="s">
        <v>1</v>
      </c>
    </row>
    <row r="698" customHeight="1" spans="1:2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5" t="str">
        <f t="shared" si="3"/>
        <v/>
      </c>
      <c r="AB698" s="5" t="s">
        <v>1</v>
      </c>
    </row>
    <row r="699" customHeight="1" spans="1:2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5" t="str">
        <f t="shared" si="3"/>
        <v/>
      </c>
      <c r="AB699" s="5" t="s">
        <v>1</v>
      </c>
    </row>
    <row r="700" customHeight="1" spans="1:2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5" t="str">
        <f t="shared" si="3"/>
        <v/>
      </c>
      <c r="AB700" s="5" t="s">
        <v>1</v>
      </c>
    </row>
    <row r="701" customHeight="1" spans="1:2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5" t="str">
        <f t="shared" si="3"/>
        <v/>
      </c>
      <c r="AB701" s="5" t="s">
        <v>1</v>
      </c>
    </row>
    <row r="702" customHeight="1" spans="1:2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5" t="str">
        <f t="shared" si="3"/>
        <v/>
      </c>
      <c r="AB702" s="5" t="s">
        <v>1</v>
      </c>
    </row>
    <row r="703" customHeight="1" spans="1:2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5" t="str">
        <f t="shared" si="3"/>
        <v/>
      </c>
      <c r="AB703" s="5" t="s">
        <v>1</v>
      </c>
    </row>
    <row r="704" customHeight="1" spans="1:2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5" t="str">
        <f t="shared" si="3"/>
        <v/>
      </c>
      <c r="AB704" s="5" t="s">
        <v>1</v>
      </c>
    </row>
    <row r="705" customHeight="1" spans="1:2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5" t="str">
        <f t="shared" si="3"/>
        <v/>
      </c>
      <c r="AB705" s="5" t="s">
        <v>1</v>
      </c>
    </row>
    <row r="706" customHeight="1" spans="1:2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5" t="str">
        <f t="shared" si="3"/>
        <v/>
      </c>
      <c r="AB706" s="5" t="s">
        <v>1</v>
      </c>
    </row>
    <row r="707" customHeight="1" spans="1:2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5" t="str">
        <f t="shared" si="3"/>
        <v/>
      </c>
      <c r="AB707" s="5" t="s">
        <v>1</v>
      </c>
    </row>
    <row r="708" customHeight="1" spans="1:2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5" t="str">
        <f t="shared" si="3"/>
        <v/>
      </c>
      <c r="AB708" s="5" t="s">
        <v>1</v>
      </c>
    </row>
    <row r="709" customHeight="1" spans="1:2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5" t="str">
        <f t="shared" si="3"/>
        <v/>
      </c>
      <c r="AB709" s="5" t="s">
        <v>1</v>
      </c>
    </row>
    <row r="710" customHeight="1" spans="1:2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5" t="str">
        <f t="shared" si="3"/>
        <v/>
      </c>
      <c r="AB710" s="5" t="s">
        <v>1</v>
      </c>
    </row>
    <row r="711" customHeight="1" spans="1:2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5" t="str">
        <f t="shared" si="3"/>
        <v/>
      </c>
      <c r="AB711" s="5" t="s">
        <v>1</v>
      </c>
    </row>
    <row r="712" customHeight="1" spans="1:2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5" t="str">
        <f t="shared" si="3"/>
        <v/>
      </c>
      <c r="AB712" s="5" t="s">
        <v>1</v>
      </c>
    </row>
    <row r="713" customHeight="1" spans="1:2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5" t="str">
        <f t="shared" si="3"/>
        <v/>
      </c>
      <c r="AB713" s="5" t="s">
        <v>1</v>
      </c>
    </row>
    <row r="714" customHeight="1" spans="1:2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5" t="str">
        <f t="shared" si="3"/>
        <v/>
      </c>
      <c r="AB714" s="5" t="s">
        <v>1</v>
      </c>
    </row>
    <row r="715" customHeight="1" spans="1:2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5" t="str">
        <f t="shared" si="3"/>
        <v/>
      </c>
      <c r="AB715" s="5" t="s">
        <v>1</v>
      </c>
    </row>
    <row r="716" customHeight="1" spans="1:2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5" t="str">
        <f t="shared" si="3"/>
        <v/>
      </c>
      <c r="AB716" s="5" t="s">
        <v>1</v>
      </c>
    </row>
    <row r="717" customHeight="1" spans="1:2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5" t="str">
        <f t="shared" si="3"/>
        <v/>
      </c>
      <c r="AB717" s="5" t="s">
        <v>1</v>
      </c>
    </row>
    <row r="718" customHeight="1" spans="1:2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5" t="str">
        <f t="shared" si="3"/>
        <v/>
      </c>
      <c r="AB718" s="5" t="s">
        <v>1</v>
      </c>
    </row>
    <row r="719" customHeight="1" spans="1:2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5" t="str">
        <f t="shared" si="3"/>
        <v/>
      </c>
      <c r="AB719" s="5" t="s">
        <v>1</v>
      </c>
    </row>
    <row r="720" customHeight="1" spans="1:2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5" t="str">
        <f t="shared" si="3"/>
        <v/>
      </c>
      <c r="AB720" s="5" t="s">
        <v>1</v>
      </c>
    </row>
    <row r="721" customHeight="1" spans="1:2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5" t="str">
        <f t="shared" si="3"/>
        <v/>
      </c>
      <c r="AB721" s="5" t="s">
        <v>1</v>
      </c>
    </row>
    <row r="722" customHeight="1" spans="1:2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5" t="str">
        <f t="shared" si="3"/>
        <v/>
      </c>
      <c r="AB722" s="5" t="s">
        <v>1</v>
      </c>
    </row>
    <row r="723" customHeight="1" spans="1:2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5" t="str">
        <f t="shared" si="3"/>
        <v/>
      </c>
      <c r="AB723" s="5" t="s">
        <v>1</v>
      </c>
    </row>
    <row r="724" customHeight="1" spans="1:2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5" t="str">
        <f t="shared" si="3"/>
        <v/>
      </c>
      <c r="AB724" s="5" t="s">
        <v>1</v>
      </c>
    </row>
    <row r="725" customHeight="1" spans="1:2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5" t="str">
        <f t="shared" si="3"/>
        <v/>
      </c>
      <c r="AB725" s="5" t="s">
        <v>1</v>
      </c>
    </row>
    <row r="726" customHeight="1" spans="1:2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5" t="str">
        <f t="shared" si="3"/>
        <v/>
      </c>
      <c r="AB726" s="5" t="s">
        <v>1</v>
      </c>
    </row>
    <row r="727" customHeight="1" spans="1:2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5" t="str">
        <f t="shared" si="3"/>
        <v/>
      </c>
      <c r="AB727" s="5" t="s">
        <v>1</v>
      </c>
    </row>
    <row r="728" customHeight="1" spans="1: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5" t="str">
        <f t="shared" si="3"/>
        <v/>
      </c>
      <c r="AB728" s="5" t="s">
        <v>1</v>
      </c>
    </row>
    <row r="729" customHeight="1" spans="1:2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5" t="str">
        <f t="shared" si="3"/>
        <v/>
      </c>
      <c r="AB729" s="5" t="s">
        <v>1</v>
      </c>
    </row>
    <row r="730" customHeight="1" spans="1:2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5" t="str">
        <f t="shared" si="3"/>
        <v/>
      </c>
      <c r="AB730" s="5" t="s">
        <v>1</v>
      </c>
    </row>
    <row r="731" customHeight="1" spans="1:2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5" t="str">
        <f t="shared" si="3"/>
        <v/>
      </c>
      <c r="AB731" s="5" t="s">
        <v>1</v>
      </c>
    </row>
    <row r="732" customHeight="1" spans="1:2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5" t="str">
        <f t="shared" si="3"/>
        <v/>
      </c>
      <c r="AB732" s="5" t="s">
        <v>1</v>
      </c>
    </row>
    <row r="733" customHeight="1" spans="1:2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5" t="str">
        <f t="shared" si="3"/>
        <v/>
      </c>
      <c r="AB733" s="5" t="s">
        <v>1</v>
      </c>
    </row>
    <row r="734" customHeight="1" spans="1:2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5" t="str">
        <f t="shared" si="3"/>
        <v/>
      </c>
      <c r="AB734" s="5" t="s">
        <v>1</v>
      </c>
    </row>
    <row r="735" customHeight="1" spans="1:2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5" t="str">
        <f t="shared" si="3"/>
        <v/>
      </c>
      <c r="AB735" s="5" t="s">
        <v>1</v>
      </c>
    </row>
    <row r="736" customHeight="1" spans="1:2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5" t="str">
        <f t="shared" si="3"/>
        <v/>
      </c>
      <c r="AB736" s="5" t="s">
        <v>1</v>
      </c>
    </row>
    <row r="737" customHeight="1" spans="1:2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5" t="str">
        <f t="shared" si="3"/>
        <v/>
      </c>
      <c r="AB737" s="5" t="s">
        <v>1</v>
      </c>
    </row>
    <row r="738" customHeight="1" spans="1:2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5" t="str">
        <f t="shared" si="3"/>
        <v/>
      </c>
      <c r="AB738" s="5" t="s">
        <v>1</v>
      </c>
    </row>
    <row r="739" customHeight="1" spans="1:2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5" t="str">
        <f t="shared" si="3"/>
        <v/>
      </c>
      <c r="AB739" s="5" t="s">
        <v>1</v>
      </c>
    </row>
    <row r="740" customHeight="1" spans="1:2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5" t="str">
        <f t="shared" si="3"/>
        <v/>
      </c>
      <c r="AB740" s="5" t="s">
        <v>1</v>
      </c>
    </row>
    <row r="741" customHeight="1" spans="1:2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5" t="str">
        <f t="shared" si="3"/>
        <v/>
      </c>
      <c r="AB741" s="5" t="s">
        <v>1</v>
      </c>
    </row>
    <row r="742" customHeight="1" spans="1:2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5" t="str">
        <f t="shared" si="3"/>
        <v/>
      </c>
      <c r="AB742" s="5" t="s">
        <v>1</v>
      </c>
    </row>
    <row r="743" customHeight="1" spans="1:2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5" t="str">
        <f t="shared" si="3"/>
        <v/>
      </c>
      <c r="AB743" s="5" t="s">
        <v>1</v>
      </c>
    </row>
    <row r="744" customHeight="1" spans="1:2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5" t="str">
        <f t="shared" si="3"/>
        <v/>
      </c>
      <c r="AB744" s="5" t="s">
        <v>1</v>
      </c>
    </row>
    <row r="745" customHeight="1" spans="1:2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5" t="str">
        <f t="shared" si="3"/>
        <v/>
      </c>
      <c r="AB745" s="5" t="s">
        <v>1</v>
      </c>
    </row>
    <row r="746" customHeight="1" spans="1:2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5" t="str">
        <f t="shared" si="3"/>
        <v/>
      </c>
      <c r="AB746" s="5" t="s">
        <v>1</v>
      </c>
    </row>
    <row r="747" customHeight="1" spans="1:2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5" t="str">
        <f t="shared" si="3"/>
        <v/>
      </c>
      <c r="AB747" s="5" t="s">
        <v>1</v>
      </c>
    </row>
    <row r="748" customHeight="1" spans="1:2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5" t="str">
        <f t="shared" si="3"/>
        <v/>
      </c>
      <c r="AB748" s="5" t="s">
        <v>1</v>
      </c>
    </row>
    <row r="749" customHeight="1" spans="1:2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5" t="str">
        <f t="shared" si="3"/>
        <v/>
      </c>
      <c r="AB749" s="5" t="s">
        <v>1</v>
      </c>
    </row>
    <row r="750" customHeight="1" spans="1:2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5" t="str">
        <f t="shared" si="3"/>
        <v/>
      </c>
      <c r="AB750" s="5" t="s">
        <v>1</v>
      </c>
    </row>
    <row r="751" customHeight="1" spans="1:2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5" t="str">
        <f t="shared" si="3"/>
        <v/>
      </c>
      <c r="AB751" s="5" t="s">
        <v>1</v>
      </c>
    </row>
    <row r="752" customHeight="1" spans="1:2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5" t="str">
        <f t="shared" si="3"/>
        <v/>
      </c>
      <c r="AB752" s="5" t="s">
        <v>1</v>
      </c>
    </row>
    <row r="753" customHeight="1" spans="1:2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5" t="str">
        <f t="shared" si="3"/>
        <v/>
      </c>
      <c r="AB753" s="5" t="s">
        <v>1</v>
      </c>
    </row>
    <row r="754" customHeight="1" spans="1:2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5" t="str">
        <f t="shared" si="3"/>
        <v/>
      </c>
      <c r="AB754" s="5" t="s">
        <v>1</v>
      </c>
    </row>
    <row r="755" customHeight="1" spans="1:2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5" t="str">
        <f t="shared" si="3"/>
        <v/>
      </c>
      <c r="AB755" s="5" t="s">
        <v>1</v>
      </c>
    </row>
    <row r="756" customHeight="1" spans="1:2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5" t="str">
        <f t="shared" si="3"/>
        <v/>
      </c>
      <c r="AB756" s="5" t="s">
        <v>1</v>
      </c>
    </row>
    <row r="757" customHeight="1" spans="1:2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5" t="str">
        <f t="shared" si="3"/>
        <v/>
      </c>
      <c r="AB757" s="5" t="s">
        <v>1</v>
      </c>
    </row>
    <row r="758" customHeight="1" spans="1:2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5" t="str">
        <f t="shared" si="3"/>
        <v/>
      </c>
      <c r="AB758" s="5" t="s">
        <v>1</v>
      </c>
    </row>
    <row r="759" customHeight="1" spans="1:2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5" t="str">
        <f t="shared" si="3"/>
        <v/>
      </c>
      <c r="AB759" s="5" t="s">
        <v>1</v>
      </c>
    </row>
    <row r="760" customHeight="1" spans="1:2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5" t="str">
        <f t="shared" si="3"/>
        <v/>
      </c>
      <c r="AB760" s="5" t="s">
        <v>1</v>
      </c>
    </row>
    <row r="761" customHeight="1" spans="1:2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5" t="str">
        <f t="shared" si="3"/>
        <v/>
      </c>
      <c r="AB761" s="5" t="s">
        <v>1</v>
      </c>
    </row>
    <row r="762" customHeight="1" spans="1:2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5" t="str">
        <f t="shared" si="3"/>
        <v/>
      </c>
      <c r="AB762" s="5" t="s">
        <v>1</v>
      </c>
    </row>
    <row r="763" customHeight="1" spans="1:2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5" t="str">
        <f t="shared" si="3"/>
        <v/>
      </c>
      <c r="AB763" s="5" t="s">
        <v>1</v>
      </c>
    </row>
    <row r="764" customHeight="1" spans="1:2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5" t="str">
        <f t="shared" si="3"/>
        <v/>
      </c>
      <c r="AB764" s="5" t="s">
        <v>1</v>
      </c>
    </row>
    <row r="765" customHeight="1" spans="1:2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5" t="str">
        <f t="shared" si="3"/>
        <v/>
      </c>
      <c r="AB765" s="5" t="s">
        <v>1</v>
      </c>
    </row>
    <row r="766" customHeight="1" spans="1:2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5" t="str">
        <f t="shared" si="3"/>
        <v/>
      </c>
      <c r="AB766" s="5" t="s">
        <v>1</v>
      </c>
    </row>
    <row r="767" customHeight="1" spans="1:2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5" t="str">
        <f t="shared" si="3"/>
        <v/>
      </c>
      <c r="AB767" s="5" t="s">
        <v>1</v>
      </c>
    </row>
    <row r="768" customHeight="1" spans="1:2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5" t="str">
        <f t="shared" si="3"/>
        <v/>
      </c>
      <c r="AB768" s="5" t="s">
        <v>1</v>
      </c>
    </row>
    <row r="769" customHeight="1" spans="1:2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5" t="str">
        <f t="shared" ref="AA769:AA1000" si="4">IF(A769&lt;&gt;"",H769&amp;"/"&amp;A769,"")</f>
        <v/>
      </c>
      <c r="AB769" s="5" t="s">
        <v>1</v>
      </c>
    </row>
    <row r="770" customHeight="1" spans="1:2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5" t="str">
        <f t="shared" si="4"/>
        <v/>
      </c>
      <c r="AB770" s="5" t="s">
        <v>1</v>
      </c>
    </row>
    <row r="771" customHeight="1" spans="1:2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5" t="str">
        <f t="shared" si="4"/>
        <v/>
      </c>
      <c r="AB771" s="5" t="s">
        <v>1</v>
      </c>
    </row>
    <row r="772" customHeight="1" spans="1:2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5" t="str">
        <f t="shared" si="4"/>
        <v/>
      </c>
      <c r="AB772" s="5" t="s">
        <v>1</v>
      </c>
    </row>
    <row r="773" customHeight="1" spans="1:2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5" t="str">
        <f t="shared" si="4"/>
        <v/>
      </c>
      <c r="AB773" s="5" t="s">
        <v>1</v>
      </c>
    </row>
    <row r="774" customHeight="1" spans="1:2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5" t="str">
        <f t="shared" si="4"/>
        <v/>
      </c>
      <c r="AB774" s="5" t="s">
        <v>1</v>
      </c>
    </row>
    <row r="775" customHeight="1" spans="1:2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5" t="str">
        <f t="shared" si="4"/>
        <v/>
      </c>
      <c r="AB775" s="5" t="s">
        <v>1</v>
      </c>
    </row>
    <row r="776" customHeight="1" spans="1:2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5" t="str">
        <f t="shared" si="4"/>
        <v/>
      </c>
      <c r="AB776" s="5" t="s">
        <v>1</v>
      </c>
    </row>
    <row r="777" customHeight="1" spans="1:2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5" t="str">
        <f t="shared" si="4"/>
        <v/>
      </c>
      <c r="AB777" s="5" t="s">
        <v>1</v>
      </c>
    </row>
    <row r="778" customHeight="1" spans="1:2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5" t="str">
        <f t="shared" si="4"/>
        <v/>
      </c>
      <c r="AB778" s="5" t="s">
        <v>1</v>
      </c>
    </row>
    <row r="779" customHeight="1" spans="1:2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5" t="str">
        <f t="shared" si="4"/>
        <v/>
      </c>
      <c r="AB779" s="5" t="s">
        <v>1</v>
      </c>
    </row>
    <row r="780" customHeight="1" spans="1:2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5" t="str">
        <f t="shared" si="4"/>
        <v/>
      </c>
      <c r="AB780" s="5" t="s">
        <v>1</v>
      </c>
    </row>
    <row r="781" customHeight="1" spans="1:2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5" t="str">
        <f t="shared" si="4"/>
        <v/>
      </c>
      <c r="AB781" s="5" t="s">
        <v>1</v>
      </c>
    </row>
    <row r="782" customHeight="1" spans="1:2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5" t="str">
        <f t="shared" si="4"/>
        <v/>
      </c>
      <c r="AB782" s="5" t="s">
        <v>1</v>
      </c>
    </row>
    <row r="783" customHeight="1" spans="1:2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5" t="str">
        <f t="shared" si="4"/>
        <v/>
      </c>
      <c r="AB783" s="5" t="s">
        <v>1</v>
      </c>
    </row>
    <row r="784" customHeight="1" spans="1:2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5" t="str">
        <f t="shared" si="4"/>
        <v/>
      </c>
      <c r="AB784" s="5" t="s">
        <v>1</v>
      </c>
    </row>
    <row r="785" customHeight="1" spans="1:2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5" t="str">
        <f t="shared" si="4"/>
        <v/>
      </c>
      <c r="AB785" s="5" t="s">
        <v>1</v>
      </c>
    </row>
    <row r="786" customHeight="1" spans="1:2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5" t="str">
        <f t="shared" si="4"/>
        <v/>
      </c>
      <c r="AB786" s="5" t="s">
        <v>1</v>
      </c>
    </row>
    <row r="787" customHeight="1" spans="1:2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5" t="str">
        <f t="shared" si="4"/>
        <v/>
      </c>
      <c r="AB787" s="5" t="s">
        <v>1</v>
      </c>
    </row>
    <row r="788" customHeight="1" spans="1:2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5" t="str">
        <f t="shared" si="4"/>
        <v/>
      </c>
      <c r="AB788" s="5" t="s">
        <v>1</v>
      </c>
    </row>
    <row r="789" customHeight="1" spans="1:2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5" t="str">
        <f t="shared" si="4"/>
        <v/>
      </c>
      <c r="AB789" s="5" t="s">
        <v>1</v>
      </c>
    </row>
    <row r="790" customHeight="1" spans="1:2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5" t="str">
        <f t="shared" si="4"/>
        <v/>
      </c>
      <c r="AB790" s="5" t="s">
        <v>1</v>
      </c>
    </row>
    <row r="791" customHeight="1" spans="1:2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5" t="str">
        <f t="shared" si="4"/>
        <v/>
      </c>
      <c r="AB791" s="5" t="s">
        <v>1</v>
      </c>
    </row>
    <row r="792" customHeight="1" spans="1:2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5" t="str">
        <f t="shared" si="4"/>
        <v/>
      </c>
      <c r="AB792" s="5" t="s">
        <v>1</v>
      </c>
    </row>
    <row r="793" customHeight="1" spans="1:2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5" t="str">
        <f t="shared" si="4"/>
        <v/>
      </c>
      <c r="AB793" s="5" t="s">
        <v>1</v>
      </c>
    </row>
    <row r="794" customHeight="1" spans="1:2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5" t="str">
        <f t="shared" si="4"/>
        <v/>
      </c>
      <c r="AB794" s="5" t="s">
        <v>1</v>
      </c>
    </row>
    <row r="795" customHeight="1" spans="1:2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5" t="str">
        <f t="shared" si="4"/>
        <v/>
      </c>
      <c r="AB795" s="5" t="s">
        <v>1</v>
      </c>
    </row>
    <row r="796" customHeight="1" spans="1:2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5" t="str">
        <f t="shared" si="4"/>
        <v/>
      </c>
      <c r="AB796" s="5" t="s">
        <v>1</v>
      </c>
    </row>
    <row r="797" customHeight="1" spans="1:2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5" t="str">
        <f t="shared" si="4"/>
        <v/>
      </c>
      <c r="AB797" s="5" t="s">
        <v>1</v>
      </c>
    </row>
    <row r="798" customHeight="1" spans="1:2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5" t="str">
        <f t="shared" si="4"/>
        <v/>
      </c>
      <c r="AB798" s="5" t="s">
        <v>1</v>
      </c>
    </row>
    <row r="799" customHeight="1" spans="1:2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5" t="str">
        <f t="shared" si="4"/>
        <v/>
      </c>
      <c r="AB799" s="5" t="s">
        <v>1</v>
      </c>
    </row>
    <row r="800" customHeight="1" spans="1:2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5" t="str">
        <f t="shared" si="4"/>
        <v/>
      </c>
      <c r="AB800" s="5" t="s">
        <v>1</v>
      </c>
    </row>
    <row r="801" customHeight="1" spans="1:2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5" t="str">
        <f t="shared" si="4"/>
        <v/>
      </c>
      <c r="AB801" s="5" t="s">
        <v>1</v>
      </c>
    </row>
    <row r="802" customHeight="1" spans="1:2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5" t="str">
        <f t="shared" si="4"/>
        <v/>
      </c>
      <c r="AB802" s="5" t="s">
        <v>1</v>
      </c>
    </row>
    <row r="803" customHeight="1" spans="1:2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5" t="str">
        <f t="shared" si="4"/>
        <v/>
      </c>
      <c r="AB803" s="5" t="s">
        <v>1</v>
      </c>
    </row>
    <row r="804" customHeight="1" spans="1:2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5" t="str">
        <f t="shared" si="4"/>
        <v/>
      </c>
      <c r="AB804" s="5" t="s">
        <v>1</v>
      </c>
    </row>
    <row r="805" customHeight="1" spans="1:2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5" t="str">
        <f t="shared" si="4"/>
        <v/>
      </c>
      <c r="AB805" s="5" t="s">
        <v>1</v>
      </c>
    </row>
    <row r="806" customHeight="1" spans="1:2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5" t="str">
        <f t="shared" si="4"/>
        <v/>
      </c>
      <c r="AB806" s="5" t="s">
        <v>1</v>
      </c>
    </row>
    <row r="807" customHeight="1" spans="1:2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5" t="str">
        <f t="shared" si="4"/>
        <v/>
      </c>
      <c r="AB807" s="5" t="s">
        <v>1</v>
      </c>
    </row>
    <row r="808" customHeight="1" spans="1:2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5" t="str">
        <f t="shared" si="4"/>
        <v/>
      </c>
      <c r="AB808" s="5" t="s">
        <v>1</v>
      </c>
    </row>
    <row r="809" customHeight="1" spans="1:2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5" t="str">
        <f t="shared" si="4"/>
        <v/>
      </c>
      <c r="AB809" s="5" t="s">
        <v>1</v>
      </c>
    </row>
    <row r="810" customHeight="1" spans="1:2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5" t="str">
        <f t="shared" si="4"/>
        <v/>
      </c>
      <c r="AB810" s="5" t="s">
        <v>1</v>
      </c>
    </row>
    <row r="811" customHeight="1" spans="1:2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5" t="str">
        <f t="shared" si="4"/>
        <v/>
      </c>
      <c r="AB811" s="5" t="s">
        <v>1</v>
      </c>
    </row>
    <row r="812" customHeight="1" spans="1:2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5" t="str">
        <f t="shared" si="4"/>
        <v/>
      </c>
      <c r="AB812" s="5" t="s">
        <v>1</v>
      </c>
    </row>
    <row r="813" customHeight="1" spans="1:2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5" t="str">
        <f t="shared" si="4"/>
        <v/>
      </c>
      <c r="AB813" s="5" t="s">
        <v>1</v>
      </c>
    </row>
    <row r="814" customHeight="1" spans="1:2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5" t="str">
        <f t="shared" si="4"/>
        <v/>
      </c>
      <c r="AB814" s="5" t="s">
        <v>1</v>
      </c>
    </row>
    <row r="815" customHeight="1" spans="1:2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5" t="str">
        <f t="shared" si="4"/>
        <v/>
      </c>
      <c r="AB815" s="5" t="s">
        <v>1</v>
      </c>
    </row>
    <row r="816" customHeight="1" spans="1:2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5" t="str">
        <f t="shared" si="4"/>
        <v/>
      </c>
      <c r="AB816" s="5" t="s">
        <v>1</v>
      </c>
    </row>
    <row r="817" customHeight="1" spans="1:2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5" t="str">
        <f t="shared" si="4"/>
        <v/>
      </c>
      <c r="AB817" s="5" t="s">
        <v>1</v>
      </c>
    </row>
    <row r="818" customHeight="1" spans="1:2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5" t="str">
        <f t="shared" si="4"/>
        <v/>
      </c>
      <c r="AB818" s="5" t="s">
        <v>1</v>
      </c>
    </row>
    <row r="819" customHeight="1" spans="1:2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5" t="str">
        <f t="shared" si="4"/>
        <v/>
      </c>
      <c r="AB819" s="5" t="s">
        <v>1</v>
      </c>
    </row>
    <row r="820" customHeight="1" spans="1:2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5" t="str">
        <f t="shared" si="4"/>
        <v/>
      </c>
      <c r="AB820" s="5" t="s">
        <v>1</v>
      </c>
    </row>
    <row r="821" customHeight="1" spans="1:2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5" t="str">
        <f t="shared" si="4"/>
        <v/>
      </c>
      <c r="AB821" s="5" t="s">
        <v>1</v>
      </c>
    </row>
    <row r="822" customHeight="1" spans="1:2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5" t="str">
        <f t="shared" si="4"/>
        <v/>
      </c>
      <c r="AB822" s="5" t="s">
        <v>1</v>
      </c>
    </row>
    <row r="823" customHeight="1" spans="1:2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5" t="str">
        <f t="shared" si="4"/>
        <v/>
      </c>
      <c r="AB823" s="5" t="s">
        <v>1</v>
      </c>
    </row>
    <row r="824" customHeight="1" spans="1:2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5" t="str">
        <f t="shared" si="4"/>
        <v/>
      </c>
      <c r="AB824" s="5" t="s">
        <v>1</v>
      </c>
    </row>
    <row r="825" customHeight="1" spans="1:2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5" t="str">
        <f t="shared" si="4"/>
        <v/>
      </c>
      <c r="AB825" s="5" t="s">
        <v>1</v>
      </c>
    </row>
    <row r="826" customHeight="1" spans="1:2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5" t="str">
        <f t="shared" si="4"/>
        <v/>
      </c>
      <c r="AB826" s="5" t="s">
        <v>1</v>
      </c>
    </row>
    <row r="827" customHeight="1" spans="1:2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5" t="str">
        <f t="shared" si="4"/>
        <v/>
      </c>
      <c r="AB827" s="5" t="s">
        <v>1</v>
      </c>
    </row>
    <row r="828" customHeight="1" spans="1: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5" t="str">
        <f t="shared" si="4"/>
        <v/>
      </c>
      <c r="AB828" s="5" t="s">
        <v>1</v>
      </c>
    </row>
    <row r="829" customHeight="1" spans="1:2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5" t="str">
        <f t="shared" si="4"/>
        <v/>
      </c>
      <c r="AB829" s="5" t="s">
        <v>1</v>
      </c>
    </row>
    <row r="830" customHeight="1" spans="1:2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5" t="str">
        <f t="shared" si="4"/>
        <v/>
      </c>
      <c r="AB830" s="5" t="s">
        <v>1</v>
      </c>
    </row>
    <row r="831" customHeight="1" spans="1:2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5" t="str">
        <f t="shared" si="4"/>
        <v/>
      </c>
      <c r="AB831" s="5" t="s">
        <v>1</v>
      </c>
    </row>
    <row r="832" customHeight="1" spans="1:2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5" t="str">
        <f t="shared" si="4"/>
        <v/>
      </c>
      <c r="AB832" s="5" t="s">
        <v>1</v>
      </c>
    </row>
    <row r="833" customHeight="1" spans="1:2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5" t="str">
        <f t="shared" si="4"/>
        <v/>
      </c>
      <c r="AB833" s="5" t="s">
        <v>1</v>
      </c>
    </row>
    <row r="834" customHeight="1" spans="1:2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5" t="str">
        <f t="shared" si="4"/>
        <v/>
      </c>
      <c r="AB834" s="5" t="s">
        <v>1</v>
      </c>
    </row>
    <row r="835" customHeight="1" spans="1:2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5" t="str">
        <f t="shared" si="4"/>
        <v/>
      </c>
      <c r="AB835" s="5" t="s">
        <v>1</v>
      </c>
    </row>
    <row r="836" customHeight="1" spans="1:2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5" t="str">
        <f t="shared" si="4"/>
        <v/>
      </c>
      <c r="AB836" s="5" t="s">
        <v>1</v>
      </c>
    </row>
    <row r="837" customHeight="1" spans="1:2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5" t="str">
        <f t="shared" si="4"/>
        <v/>
      </c>
      <c r="AB837" s="5" t="s">
        <v>1</v>
      </c>
    </row>
    <row r="838" customHeight="1" spans="1:2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5" t="str">
        <f t="shared" si="4"/>
        <v/>
      </c>
      <c r="AB838" s="5" t="s">
        <v>1</v>
      </c>
    </row>
    <row r="839" customHeight="1" spans="1:2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5" t="str">
        <f t="shared" si="4"/>
        <v/>
      </c>
      <c r="AB839" s="5" t="s">
        <v>1</v>
      </c>
    </row>
    <row r="840" customHeight="1" spans="1:2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5" t="str">
        <f t="shared" si="4"/>
        <v/>
      </c>
      <c r="AB840" s="5" t="s">
        <v>1</v>
      </c>
    </row>
    <row r="841" customHeight="1" spans="1:2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5" t="str">
        <f t="shared" si="4"/>
        <v/>
      </c>
      <c r="AB841" s="5" t="s">
        <v>1</v>
      </c>
    </row>
    <row r="842" customHeight="1" spans="1:2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5" t="str">
        <f t="shared" si="4"/>
        <v/>
      </c>
      <c r="AB842" s="5" t="s">
        <v>1</v>
      </c>
    </row>
    <row r="843" customHeight="1" spans="1:2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5" t="str">
        <f t="shared" si="4"/>
        <v/>
      </c>
      <c r="AB843" s="5" t="s">
        <v>1</v>
      </c>
    </row>
    <row r="844" customHeight="1" spans="1:2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5" t="str">
        <f t="shared" si="4"/>
        <v/>
      </c>
      <c r="AB844" s="5" t="s">
        <v>1</v>
      </c>
    </row>
    <row r="845" customHeight="1" spans="1:2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5" t="str">
        <f t="shared" si="4"/>
        <v/>
      </c>
      <c r="AB845" s="5" t="s">
        <v>1</v>
      </c>
    </row>
    <row r="846" customHeight="1" spans="1:2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5" t="str">
        <f t="shared" si="4"/>
        <v/>
      </c>
      <c r="AB846" s="5" t="s">
        <v>1</v>
      </c>
    </row>
    <row r="847" customHeight="1" spans="1:2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5" t="str">
        <f t="shared" si="4"/>
        <v/>
      </c>
      <c r="AB847" s="5" t="s">
        <v>1</v>
      </c>
    </row>
    <row r="848" customHeight="1" spans="1:2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5" t="str">
        <f t="shared" si="4"/>
        <v/>
      </c>
      <c r="AB848" s="5" t="s">
        <v>1</v>
      </c>
    </row>
    <row r="849" customHeight="1" spans="1:2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5" t="str">
        <f t="shared" si="4"/>
        <v/>
      </c>
      <c r="AB849" s="5" t="s">
        <v>1</v>
      </c>
    </row>
    <row r="850" customHeight="1" spans="1:2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5" t="str">
        <f t="shared" si="4"/>
        <v/>
      </c>
      <c r="AB850" s="5" t="s">
        <v>1</v>
      </c>
    </row>
    <row r="851" customHeight="1" spans="1:2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5" t="str">
        <f t="shared" si="4"/>
        <v/>
      </c>
      <c r="AB851" s="5" t="s">
        <v>1</v>
      </c>
    </row>
    <row r="852" customHeight="1" spans="1:2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5" t="str">
        <f t="shared" si="4"/>
        <v/>
      </c>
      <c r="AB852" s="5" t="s">
        <v>1</v>
      </c>
    </row>
    <row r="853" customHeight="1" spans="1:2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5" t="str">
        <f t="shared" si="4"/>
        <v/>
      </c>
      <c r="AB853" s="5" t="s">
        <v>1</v>
      </c>
    </row>
    <row r="854" customHeight="1" spans="1:2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5" t="str">
        <f t="shared" si="4"/>
        <v/>
      </c>
      <c r="AB854" s="5" t="s">
        <v>1</v>
      </c>
    </row>
    <row r="855" customHeight="1" spans="1:2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5" t="str">
        <f t="shared" si="4"/>
        <v/>
      </c>
      <c r="AB855" s="5" t="s">
        <v>1</v>
      </c>
    </row>
    <row r="856" customHeight="1" spans="1:2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5" t="str">
        <f t="shared" si="4"/>
        <v/>
      </c>
      <c r="AB856" s="5" t="s">
        <v>1</v>
      </c>
    </row>
    <row r="857" customHeight="1" spans="1:2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5" t="str">
        <f t="shared" si="4"/>
        <v/>
      </c>
      <c r="AB857" s="5" t="s">
        <v>1</v>
      </c>
    </row>
    <row r="858" customHeight="1" spans="1:2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5" t="str">
        <f t="shared" si="4"/>
        <v/>
      </c>
      <c r="AB858" s="5" t="s">
        <v>1</v>
      </c>
    </row>
    <row r="859" customHeight="1" spans="1:2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5" t="str">
        <f t="shared" si="4"/>
        <v/>
      </c>
      <c r="AB859" s="5" t="s">
        <v>1</v>
      </c>
    </row>
    <row r="860" customHeight="1" spans="1:2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5" t="str">
        <f t="shared" si="4"/>
        <v/>
      </c>
      <c r="AB860" s="5" t="s">
        <v>1</v>
      </c>
    </row>
    <row r="861" customHeight="1" spans="1:2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5" t="str">
        <f t="shared" si="4"/>
        <v/>
      </c>
      <c r="AB861" s="5" t="s">
        <v>1</v>
      </c>
    </row>
    <row r="862" customHeight="1" spans="1:2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5" t="str">
        <f t="shared" si="4"/>
        <v/>
      </c>
      <c r="AB862" s="5" t="s">
        <v>1</v>
      </c>
    </row>
    <row r="863" customHeight="1" spans="1:2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5" t="str">
        <f t="shared" si="4"/>
        <v/>
      </c>
      <c r="AB863" s="5" t="s">
        <v>1</v>
      </c>
    </row>
    <row r="864" customHeight="1" spans="1:2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5" t="str">
        <f t="shared" si="4"/>
        <v/>
      </c>
      <c r="AB864" s="5" t="s">
        <v>1</v>
      </c>
    </row>
    <row r="865" customHeight="1" spans="1:2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5" t="str">
        <f t="shared" si="4"/>
        <v/>
      </c>
      <c r="AB865" s="5" t="s">
        <v>1</v>
      </c>
    </row>
    <row r="866" customHeight="1" spans="1:2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5" t="str">
        <f t="shared" si="4"/>
        <v/>
      </c>
      <c r="AB866" s="5" t="s">
        <v>1</v>
      </c>
    </row>
    <row r="867" customHeight="1" spans="1:2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5" t="str">
        <f t="shared" si="4"/>
        <v/>
      </c>
      <c r="AB867" s="5" t="s">
        <v>1</v>
      </c>
    </row>
    <row r="868" customHeight="1" spans="1:2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5" t="str">
        <f t="shared" si="4"/>
        <v/>
      </c>
      <c r="AB868" s="5" t="s">
        <v>1</v>
      </c>
    </row>
    <row r="869" customHeight="1" spans="1:2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5" t="str">
        <f t="shared" si="4"/>
        <v/>
      </c>
      <c r="AB869" s="5" t="s">
        <v>1</v>
      </c>
    </row>
    <row r="870" customHeight="1" spans="1:2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5" t="str">
        <f t="shared" si="4"/>
        <v/>
      </c>
      <c r="AB870" s="5" t="s">
        <v>1</v>
      </c>
    </row>
    <row r="871" customHeight="1" spans="1:2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5" t="str">
        <f t="shared" si="4"/>
        <v/>
      </c>
      <c r="AB871" s="5" t="s">
        <v>1</v>
      </c>
    </row>
    <row r="872" customHeight="1" spans="1:2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5" t="str">
        <f t="shared" si="4"/>
        <v/>
      </c>
      <c r="AB872" s="5" t="s">
        <v>1</v>
      </c>
    </row>
    <row r="873" customHeight="1" spans="1:2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5" t="str">
        <f t="shared" si="4"/>
        <v/>
      </c>
      <c r="AB873" s="5" t="s">
        <v>1</v>
      </c>
    </row>
    <row r="874" customHeight="1" spans="1:2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5" t="str">
        <f t="shared" si="4"/>
        <v/>
      </c>
      <c r="AB874" s="5" t="s">
        <v>1</v>
      </c>
    </row>
    <row r="875" customHeight="1" spans="1:2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5" t="str">
        <f t="shared" si="4"/>
        <v/>
      </c>
      <c r="AB875" s="5" t="s">
        <v>1</v>
      </c>
    </row>
    <row r="876" customHeight="1" spans="1:2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5" t="str">
        <f t="shared" si="4"/>
        <v/>
      </c>
      <c r="AB876" s="5" t="s">
        <v>1</v>
      </c>
    </row>
    <row r="877" customHeight="1" spans="1:2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5" t="str">
        <f t="shared" si="4"/>
        <v/>
      </c>
      <c r="AB877" s="5" t="s">
        <v>1</v>
      </c>
    </row>
    <row r="878" customHeight="1" spans="1:2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5" t="str">
        <f t="shared" si="4"/>
        <v/>
      </c>
      <c r="AB878" s="5" t="s">
        <v>1</v>
      </c>
    </row>
    <row r="879" customHeight="1" spans="1:2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5" t="str">
        <f t="shared" si="4"/>
        <v/>
      </c>
      <c r="AB879" s="5" t="s">
        <v>1</v>
      </c>
    </row>
    <row r="880" customHeight="1" spans="1:2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5" t="str">
        <f t="shared" si="4"/>
        <v/>
      </c>
      <c r="AB880" s="5" t="s">
        <v>1</v>
      </c>
    </row>
    <row r="881" customHeight="1" spans="1:2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5" t="str">
        <f t="shared" si="4"/>
        <v/>
      </c>
      <c r="AB881" s="5" t="s">
        <v>1</v>
      </c>
    </row>
    <row r="882" customHeight="1" spans="1:2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5" t="str">
        <f t="shared" si="4"/>
        <v/>
      </c>
      <c r="AB882" s="5" t="s">
        <v>1</v>
      </c>
    </row>
    <row r="883" customHeight="1" spans="1:2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5" t="str">
        <f t="shared" si="4"/>
        <v/>
      </c>
      <c r="AB883" s="5" t="s">
        <v>1</v>
      </c>
    </row>
    <row r="884" customHeight="1" spans="1:2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5" t="str">
        <f t="shared" si="4"/>
        <v/>
      </c>
      <c r="AB884" s="5" t="s">
        <v>1</v>
      </c>
    </row>
    <row r="885" customHeight="1" spans="1:2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5" t="str">
        <f t="shared" si="4"/>
        <v/>
      </c>
      <c r="AB885" s="5" t="s">
        <v>1</v>
      </c>
    </row>
    <row r="886" customHeight="1" spans="1:2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5" t="str">
        <f t="shared" si="4"/>
        <v/>
      </c>
      <c r="AB886" s="5" t="s">
        <v>1</v>
      </c>
    </row>
    <row r="887" customHeight="1" spans="1:2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5" t="str">
        <f t="shared" si="4"/>
        <v/>
      </c>
      <c r="AB887" s="5" t="s">
        <v>1</v>
      </c>
    </row>
    <row r="888" customHeight="1" spans="1:2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5" t="str">
        <f t="shared" si="4"/>
        <v/>
      </c>
      <c r="AB888" s="5" t="s">
        <v>1</v>
      </c>
    </row>
    <row r="889" customHeight="1" spans="1:2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5" t="str">
        <f t="shared" si="4"/>
        <v/>
      </c>
      <c r="AB889" s="5" t="s">
        <v>1</v>
      </c>
    </row>
    <row r="890" customHeight="1" spans="1:2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5" t="str">
        <f t="shared" si="4"/>
        <v/>
      </c>
      <c r="AB890" s="5" t="s">
        <v>1</v>
      </c>
    </row>
    <row r="891" customHeight="1" spans="1:2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5" t="str">
        <f t="shared" si="4"/>
        <v/>
      </c>
      <c r="AB891" s="5" t="s">
        <v>1</v>
      </c>
    </row>
    <row r="892" customHeight="1" spans="1:2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5" t="str">
        <f t="shared" si="4"/>
        <v/>
      </c>
      <c r="AB892" s="5" t="s">
        <v>1</v>
      </c>
    </row>
    <row r="893" customHeight="1" spans="1:2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5" t="str">
        <f t="shared" si="4"/>
        <v/>
      </c>
      <c r="AB893" s="5" t="s">
        <v>1</v>
      </c>
    </row>
    <row r="894" customHeight="1" spans="1:2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5" t="str">
        <f t="shared" si="4"/>
        <v/>
      </c>
      <c r="AB894" s="5" t="s">
        <v>1</v>
      </c>
    </row>
    <row r="895" customHeight="1" spans="1:2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5" t="str">
        <f t="shared" si="4"/>
        <v/>
      </c>
      <c r="AB895" s="5" t="s">
        <v>1</v>
      </c>
    </row>
    <row r="896" customHeight="1" spans="1:2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5" t="str">
        <f t="shared" si="4"/>
        <v/>
      </c>
      <c r="AB896" s="5" t="s">
        <v>1</v>
      </c>
    </row>
    <row r="897" customHeight="1" spans="1:2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5" t="str">
        <f t="shared" si="4"/>
        <v/>
      </c>
      <c r="AB897" s="5" t="s">
        <v>1</v>
      </c>
    </row>
    <row r="898" customHeight="1" spans="1:2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5" t="str">
        <f t="shared" si="4"/>
        <v/>
      </c>
      <c r="AB898" s="5" t="s">
        <v>1</v>
      </c>
    </row>
    <row r="899" customHeight="1" spans="1:2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5" t="str">
        <f t="shared" si="4"/>
        <v/>
      </c>
      <c r="AB899" s="5" t="s">
        <v>1</v>
      </c>
    </row>
    <row r="900" customHeight="1" spans="1:2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5" t="str">
        <f t="shared" si="4"/>
        <v/>
      </c>
      <c r="AB900" s="5" t="s">
        <v>1</v>
      </c>
    </row>
    <row r="901" customHeight="1" spans="1:2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5" t="str">
        <f t="shared" si="4"/>
        <v/>
      </c>
      <c r="AB901" s="5" t="s">
        <v>1</v>
      </c>
    </row>
    <row r="902" customHeight="1" spans="1:2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5" t="str">
        <f t="shared" si="4"/>
        <v/>
      </c>
      <c r="AB902" s="5" t="s">
        <v>1</v>
      </c>
    </row>
    <row r="903" customHeight="1" spans="1:2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5" t="str">
        <f t="shared" si="4"/>
        <v/>
      </c>
      <c r="AB903" s="5" t="s">
        <v>1</v>
      </c>
    </row>
    <row r="904" customHeight="1" spans="1:2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5" t="str">
        <f t="shared" si="4"/>
        <v/>
      </c>
      <c r="AB904" s="5" t="s">
        <v>1</v>
      </c>
    </row>
    <row r="905" customHeight="1" spans="1:2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5" t="str">
        <f t="shared" si="4"/>
        <v/>
      </c>
      <c r="AB905" s="5" t="s">
        <v>1</v>
      </c>
    </row>
    <row r="906" customHeight="1" spans="1:2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5" t="str">
        <f t="shared" si="4"/>
        <v/>
      </c>
      <c r="AB906" s="5" t="s">
        <v>1</v>
      </c>
    </row>
    <row r="907" customHeight="1" spans="1:2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5" t="str">
        <f t="shared" si="4"/>
        <v/>
      </c>
      <c r="AB907" s="5" t="s">
        <v>1</v>
      </c>
    </row>
    <row r="908" customHeight="1" spans="1:2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5" t="str">
        <f t="shared" si="4"/>
        <v/>
      </c>
      <c r="AB908" s="5" t="s">
        <v>1</v>
      </c>
    </row>
    <row r="909" customHeight="1" spans="1:2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5" t="str">
        <f t="shared" si="4"/>
        <v/>
      </c>
      <c r="AB909" s="5" t="s">
        <v>1</v>
      </c>
    </row>
    <row r="910" customHeight="1" spans="1:2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5" t="str">
        <f t="shared" si="4"/>
        <v/>
      </c>
      <c r="AB910" s="5" t="s">
        <v>1</v>
      </c>
    </row>
    <row r="911" customHeight="1" spans="1:2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5" t="str">
        <f t="shared" si="4"/>
        <v/>
      </c>
      <c r="AB911" s="5" t="s">
        <v>1</v>
      </c>
    </row>
    <row r="912" customHeight="1" spans="1:2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5" t="str">
        <f t="shared" si="4"/>
        <v/>
      </c>
      <c r="AB912" s="5" t="s">
        <v>1</v>
      </c>
    </row>
    <row r="913" customHeight="1" spans="1:2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5" t="str">
        <f t="shared" si="4"/>
        <v/>
      </c>
      <c r="AB913" s="5" t="s">
        <v>1</v>
      </c>
    </row>
    <row r="914" customHeight="1" spans="1:2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5" t="str">
        <f t="shared" si="4"/>
        <v/>
      </c>
      <c r="AB914" s="5" t="s">
        <v>1</v>
      </c>
    </row>
    <row r="915" customHeight="1" spans="1:2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5" t="str">
        <f t="shared" si="4"/>
        <v/>
      </c>
      <c r="AB915" s="5" t="s">
        <v>1</v>
      </c>
    </row>
    <row r="916" customHeight="1" spans="1:2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5" t="str">
        <f t="shared" si="4"/>
        <v/>
      </c>
      <c r="AB916" s="5" t="s">
        <v>1</v>
      </c>
    </row>
    <row r="917" customHeight="1" spans="1:2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5" t="str">
        <f t="shared" si="4"/>
        <v/>
      </c>
      <c r="AB917" s="5" t="s">
        <v>1</v>
      </c>
    </row>
    <row r="918" customHeight="1" spans="1:2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5" t="str">
        <f t="shared" si="4"/>
        <v/>
      </c>
      <c r="AB918" s="5" t="s">
        <v>1</v>
      </c>
    </row>
    <row r="919" customHeight="1" spans="1:2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5" t="str">
        <f t="shared" si="4"/>
        <v/>
      </c>
      <c r="AB919" s="5" t="s">
        <v>1</v>
      </c>
    </row>
    <row r="920" customHeight="1" spans="1:2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5" t="str">
        <f t="shared" si="4"/>
        <v/>
      </c>
      <c r="AB920" s="5" t="s">
        <v>1</v>
      </c>
    </row>
    <row r="921" customHeight="1" spans="1:2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5" t="str">
        <f t="shared" si="4"/>
        <v/>
      </c>
      <c r="AB921" s="5" t="s">
        <v>1</v>
      </c>
    </row>
    <row r="922" customHeight="1" spans="1:2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5" t="str">
        <f t="shared" si="4"/>
        <v/>
      </c>
      <c r="AB922" s="5" t="s">
        <v>1</v>
      </c>
    </row>
    <row r="923" customHeight="1" spans="1:2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5" t="str">
        <f t="shared" si="4"/>
        <v/>
      </c>
      <c r="AB923" s="5" t="s">
        <v>1</v>
      </c>
    </row>
    <row r="924" customHeight="1" spans="1:2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5" t="str">
        <f t="shared" si="4"/>
        <v/>
      </c>
      <c r="AB924" s="5" t="s">
        <v>1</v>
      </c>
    </row>
    <row r="925" customHeight="1" spans="1:2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5" t="str">
        <f t="shared" si="4"/>
        <v/>
      </c>
      <c r="AB925" s="5" t="s">
        <v>1</v>
      </c>
    </row>
    <row r="926" customHeight="1" spans="1:2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5" t="str">
        <f t="shared" si="4"/>
        <v/>
      </c>
      <c r="AB926" s="5" t="s">
        <v>1</v>
      </c>
    </row>
    <row r="927" customHeight="1" spans="1:2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5" t="str">
        <f t="shared" si="4"/>
        <v/>
      </c>
      <c r="AB927" s="5" t="s">
        <v>1</v>
      </c>
    </row>
    <row r="928" customHeight="1" spans="1: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5" t="str">
        <f t="shared" si="4"/>
        <v/>
      </c>
      <c r="AB928" s="5" t="s">
        <v>1</v>
      </c>
    </row>
    <row r="929" customHeight="1" spans="1:2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5" t="str">
        <f t="shared" si="4"/>
        <v/>
      </c>
      <c r="AB929" s="5" t="s">
        <v>1</v>
      </c>
    </row>
    <row r="930" customHeight="1" spans="1:2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5" t="str">
        <f t="shared" si="4"/>
        <v/>
      </c>
      <c r="AB930" s="5" t="s">
        <v>1</v>
      </c>
    </row>
    <row r="931" customHeight="1" spans="1:2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5" t="str">
        <f t="shared" si="4"/>
        <v/>
      </c>
      <c r="AB931" s="5" t="s">
        <v>1</v>
      </c>
    </row>
    <row r="932" customHeight="1" spans="1:2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5" t="str">
        <f t="shared" si="4"/>
        <v/>
      </c>
      <c r="AB932" s="5" t="s">
        <v>1</v>
      </c>
    </row>
    <row r="933" customHeight="1" spans="1:2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5" t="str">
        <f t="shared" si="4"/>
        <v/>
      </c>
      <c r="AB933" s="5" t="s">
        <v>1</v>
      </c>
    </row>
    <row r="934" customHeight="1" spans="1:2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5" t="str">
        <f t="shared" si="4"/>
        <v/>
      </c>
      <c r="AB934" s="5" t="s">
        <v>1</v>
      </c>
    </row>
    <row r="935" customHeight="1" spans="1:2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5" t="str">
        <f t="shared" si="4"/>
        <v/>
      </c>
      <c r="AB935" s="5" t="s">
        <v>1</v>
      </c>
    </row>
    <row r="936" customHeight="1" spans="1:2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5" t="str">
        <f t="shared" si="4"/>
        <v/>
      </c>
      <c r="AB936" s="5" t="s">
        <v>1</v>
      </c>
    </row>
    <row r="937" customHeight="1" spans="1:2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5" t="str">
        <f t="shared" si="4"/>
        <v/>
      </c>
      <c r="AB937" s="5" t="s">
        <v>1</v>
      </c>
    </row>
    <row r="938" customHeight="1" spans="1:2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5" t="str">
        <f t="shared" si="4"/>
        <v/>
      </c>
      <c r="AB938" s="5" t="s">
        <v>1</v>
      </c>
    </row>
    <row r="939" customHeight="1" spans="1:2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5" t="str">
        <f t="shared" si="4"/>
        <v/>
      </c>
      <c r="AB939" s="5" t="s">
        <v>1</v>
      </c>
    </row>
    <row r="940" customHeight="1" spans="1:2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5" t="str">
        <f t="shared" si="4"/>
        <v/>
      </c>
      <c r="AB940" s="5" t="s">
        <v>1</v>
      </c>
    </row>
    <row r="941" customHeight="1" spans="1:2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5" t="str">
        <f t="shared" si="4"/>
        <v/>
      </c>
      <c r="AB941" s="5" t="s">
        <v>1</v>
      </c>
    </row>
    <row r="942" customHeight="1" spans="1:2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5" t="str">
        <f t="shared" si="4"/>
        <v/>
      </c>
      <c r="AB942" s="5" t="s">
        <v>1</v>
      </c>
    </row>
    <row r="943" customHeight="1" spans="1:2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5" t="str">
        <f t="shared" si="4"/>
        <v/>
      </c>
      <c r="AB943" s="5" t="s">
        <v>1</v>
      </c>
    </row>
    <row r="944" customHeight="1" spans="1:2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5" t="str">
        <f t="shared" si="4"/>
        <v/>
      </c>
      <c r="AB944" s="5" t="s">
        <v>1</v>
      </c>
    </row>
    <row r="945" customHeight="1" spans="1:2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5" t="str">
        <f t="shared" si="4"/>
        <v/>
      </c>
      <c r="AB945" s="5" t="s">
        <v>1</v>
      </c>
    </row>
    <row r="946" customHeight="1" spans="1:2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5" t="str">
        <f t="shared" si="4"/>
        <v/>
      </c>
      <c r="AB946" s="5" t="s">
        <v>1</v>
      </c>
    </row>
    <row r="947" customHeight="1" spans="1:2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5" t="str">
        <f t="shared" si="4"/>
        <v/>
      </c>
      <c r="AB947" s="5" t="s">
        <v>1</v>
      </c>
    </row>
    <row r="948" customHeight="1" spans="1:2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5" t="str">
        <f t="shared" si="4"/>
        <v/>
      </c>
      <c r="AB948" s="5" t="s">
        <v>1</v>
      </c>
    </row>
    <row r="949" customHeight="1" spans="1:2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5" t="str">
        <f t="shared" si="4"/>
        <v/>
      </c>
      <c r="AB949" s="5" t="s">
        <v>1</v>
      </c>
    </row>
    <row r="950" customHeight="1" spans="1:2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5" t="str">
        <f t="shared" si="4"/>
        <v/>
      </c>
      <c r="AB950" s="5" t="s">
        <v>1</v>
      </c>
    </row>
    <row r="951" customHeight="1" spans="1:2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5" t="str">
        <f t="shared" si="4"/>
        <v/>
      </c>
      <c r="AB951" s="5" t="s">
        <v>1</v>
      </c>
    </row>
    <row r="952" customHeight="1" spans="1:2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5" t="str">
        <f t="shared" si="4"/>
        <v/>
      </c>
      <c r="AB952" s="5" t="s">
        <v>1</v>
      </c>
    </row>
    <row r="953" customHeight="1" spans="1:2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5" t="str">
        <f t="shared" si="4"/>
        <v/>
      </c>
      <c r="AB953" s="5" t="s">
        <v>1</v>
      </c>
    </row>
    <row r="954" customHeight="1" spans="1:2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5" t="str">
        <f t="shared" si="4"/>
        <v/>
      </c>
      <c r="AB954" s="5" t="s">
        <v>1</v>
      </c>
    </row>
    <row r="955" customHeight="1" spans="1:2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5" t="str">
        <f t="shared" si="4"/>
        <v/>
      </c>
      <c r="AB955" s="5" t="s">
        <v>1</v>
      </c>
    </row>
    <row r="956" customHeight="1" spans="1:2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5" t="str">
        <f t="shared" si="4"/>
        <v/>
      </c>
      <c r="AB956" s="5" t="s">
        <v>1</v>
      </c>
    </row>
    <row r="957" customHeight="1" spans="1:2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5" t="str">
        <f t="shared" si="4"/>
        <v/>
      </c>
      <c r="AB957" s="5" t="s">
        <v>1</v>
      </c>
    </row>
    <row r="958" customHeight="1" spans="1:2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5" t="str">
        <f t="shared" si="4"/>
        <v/>
      </c>
      <c r="AB958" s="5" t="s">
        <v>1</v>
      </c>
    </row>
    <row r="959" customHeight="1" spans="1:2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5" t="str">
        <f t="shared" si="4"/>
        <v/>
      </c>
      <c r="AB959" s="5" t="s">
        <v>1</v>
      </c>
    </row>
    <row r="960" customHeight="1" spans="1:2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5" t="str">
        <f t="shared" si="4"/>
        <v/>
      </c>
      <c r="AB960" s="5" t="s">
        <v>1</v>
      </c>
    </row>
    <row r="961" customHeight="1" spans="1:2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5" t="str">
        <f t="shared" si="4"/>
        <v/>
      </c>
      <c r="AB961" s="5" t="s">
        <v>1</v>
      </c>
    </row>
    <row r="962" customHeight="1" spans="1:2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5" t="str">
        <f t="shared" si="4"/>
        <v/>
      </c>
      <c r="AB962" s="5" t="s">
        <v>1</v>
      </c>
    </row>
    <row r="963" customHeight="1" spans="1:2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5" t="str">
        <f t="shared" si="4"/>
        <v/>
      </c>
      <c r="AB963" s="5" t="s">
        <v>1</v>
      </c>
    </row>
    <row r="964" customHeight="1" spans="1:2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5" t="str">
        <f t="shared" si="4"/>
        <v/>
      </c>
      <c r="AB964" s="5" t="s">
        <v>1</v>
      </c>
    </row>
    <row r="965" customHeight="1" spans="1:2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5" t="str">
        <f t="shared" si="4"/>
        <v/>
      </c>
      <c r="AB965" s="5" t="s">
        <v>1</v>
      </c>
    </row>
    <row r="966" customHeight="1" spans="1:2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5" t="str">
        <f t="shared" si="4"/>
        <v/>
      </c>
      <c r="AB966" s="5" t="s">
        <v>1</v>
      </c>
    </row>
    <row r="967" customHeight="1" spans="1:2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5" t="str">
        <f t="shared" si="4"/>
        <v/>
      </c>
      <c r="AB967" s="5" t="s">
        <v>1</v>
      </c>
    </row>
    <row r="968" customHeight="1" spans="1:2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5" t="str">
        <f t="shared" si="4"/>
        <v/>
      </c>
      <c r="AB968" s="5" t="s">
        <v>1</v>
      </c>
    </row>
    <row r="969" customHeight="1" spans="1:2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5" t="str">
        <f t="shared" si="4"/>
        <v/>
      </c>
      <c r="AB969" s="5" t="s">
        <v>1</v>
      </c>
    </row>
    <row r="970" customHeight="1" spans="1:2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5" t="str">
        <f t="shared" si="4"/>
        <v/>
      </c>
      <c r="AB970" s="5" t="s">
        <v>1</v>
      </c>
    </row>
    <row r="971" customHeight="1" spans="1:2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5" t="str">
        <f t="shared" si="4"/>
        <v/>
      </c>
      <c r="AB971" s="5" t="s">
        <v>1</v>
      </c>
    </row>
    <row r="972" customHeight="1" spans="1:2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5" t="str">
        <f t="shared" si="4"/>
        <v/>
      </c>
      <c r="AB972" s="5" t="s">
        <v>1</v>
      </c>
    </row>
    <row r="973" customHeight="1" spans="1:2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5" t="str">
        <f t="shared" si="4"/>
        <v/>
      </c>
      <c r="AB973" s="5" t="s">
        <v>1</v>
      </c>
    </row>
    <row r="974" customHeight="1" spans="1:2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5" t="str">
        <f t="shared" si="4"/>
        <v/>
      </c>
      <c r="AB974" s="5" t="s">
        <v>1</v>
      </c>
    </row>
    <row r="975" customHeight="1" spans="1:2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5" t="str">
        <f t="shared" si="4"/>
        <v/>
      </c>
      <c r="AB975" s="5" t="s">
        <v>1</v>
      </c>
    </row>
    <row r="976" customHeight="1" spans="1:2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5" t="str">
        <f t="shared" si="4"/>
        <v/>
      </c>
      <c r="AB976" s="5" t="s">
        <v>1</v>
      </c>
    </row>
    <row r="977" customHeight="1" spans="1:2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5" t="str">
        <f t="shared" si="4"/>
        <v/>
      </c>
      <c r="AB977" s="5" t="s">
        <v>1</v>
      </c>
    </row>
    <row r="978" customHeight="1" spans="1:2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5" t="str">
        <f t="shared" si="4"/>
        <v/>
      </c>
      <c r="AB978" s="5" t="s">
        <v>1</v>
      </c>
    </row>
    <row r="979" customHeight="1" spans="1:2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5" t="str">
        <f t="shared" si="4"/>
        <v/>
      </c>
      <c r="AB979" s="5" t="s">
        <v>1</v>
      </c>
    </row>
    <row r="980" customHeight="1" spans="1:2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5" t="str">
        <f t="shared" si="4"/>
        <v/>
      </c>
      <c r="AB980" s="5" t="s">
        <v>1</v>
      </c>
    </row>
    <row r="981" customHeight="1" spans="1:2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5" t="str">
        <f t="shared" si="4"/>
        <v/>
      </c>
      <c r="AB981" s="5" t="s">
        <v>1</v>
      </c>
    </row>
    <row r="982" customHeight="1" spans="1:2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5" t="str">
        <f t="shared" si="4"/>
        <v/>
      </c>
      <c r="AB982" s="5" t="s">
        <v>1</v>
      </c>
    </row>
    <row r="983" customHeight="1" spans="1:2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5" t="str">
        <f t="shared" si="4"/>
        <v/>
      </c>
      <c r="AB983" s="5" t="s">
        <v>1</v>
      </c>
    </row>
    <row r="984" customHeight="1" spans="1:2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5" t="str">
        <f t="shared" si="4"/>
        <v/>
      </c>
      <c r="AB984" s="5" t="s">
        <v>1</v>
      </c>
    </row>
    <row r="985" customHeight="1" spans="1:2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5" t="str">
        <f t="shared" si="4"/>
        <v/>
      </c>
      <c r="AB985" s="5" t="s">
        <v>1</v>
      </c>
    </row>
    <row r="986" customHeight="1" spans="1:2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5" t="str">
        <f t="shared" si="4"/>
        <v/>
      </c>
      <c r="AB986" s="5" t="s">
        <v>1</v>
      </c>
    </row>
    <row r="987" customHeight="1" spans="1:2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5" t="str">
        <f t="shared" si="4"/>
        <v/>
      </c>
      <c r="AB987" s="5" t="s">
        <v>1</v>
      </c>
    </row>
    <row r="988" customHeight="1" spans="1:2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5" t="str">
        <f t="shared" si="4"/>
        <v/>
      </c>
      <c r="AB988" s="5" t="s">
        <v>1</v>
      </c>
    </row>
    <row r="989" customHeight="1" spans="1:2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5" t="str">
        <f t="shared" si="4"/>
        <v/>
      </c>
      <c r="AB989" s="5" t="s">
        <v>1</v>
      </c>
    </row>
    <row r="990" customHeight="1" spans="1:2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5" t="str">
        <f t="shared" si="4"/>
        <v/>
      </c>
      <c r="AB990" s="5" t="s">
        <v>1</v>
      </c>
    </row>
    <row r="991" customHeight="1" spans="1:2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5" t="str">
        <f t="shared" si="4"/>
        <v/>
      </c>
      <c r="AB991" s="5" t="s">
        <v>1</v>
      </c>
    </row>
    <row r="992" customHeight="1" spans="1:2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5" t="str">
        <f t="shared" si="4"/>
        <v/>
      </c>
      <c r="AB992" s="5" t="s">
        <v>1</v>
      </c>
    </row>
    <row r="993" customHeight="1" spans="1:2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5" t="str">
        <f t="shared" si="4"/>
        <v/>
      </c>
      <c r="AB993" s="5" t="s">
        <v>1</v>
      </c>
    </row>
    <row r="994" customHeight="1" spans="1:2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5" t="str">
        <f t="shared" si="4"/>
        <v/>
      </c>
      <c r="AB994" s="5" t="s">
        <v>1</v>
      </c>
    </row>
    <row r="995" customHeight="1" spans="1:2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5" t="str">
        <f t="shared" si="4"/>
        <v/>
      </c>
      <c r="AB995" s="5" t="s">
        <v>1</v>
      </c>
    </row>
    <row r="996" customHeight="1" spans="1:2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5" t="str">
        <f t="shared" si="4"/>
        <v/>
      </c>
      <c r="AB996" s="5" t="s">
        <v>1</v>
      </c>
    </row>
    <row r="997" customHeight="1" spans="1:2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5" t="str">
        <f t="shared" si="4"/>
        <v/>
      </c>
      <c r="AB997" s="5" t="s">
        <v>1</v>
      </c>
    </row>
    <row r="998" customHeight="1" spans="1:2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5" t="str">
        <f t="shared" si="4"/>
        <v/>
      </c>
      <c r="AB998" s="5" t="s">
        <v>1</v>
      </c>
    </row>
    <row r="999" customHeight="1" spans="1:2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5" t="str">
        <f t="shared" si="4"/>
        <v/>
      </c>
      <c r="AB999" s="5" t="s">
        <v>1</v>
      </c>
    </row>
    <row r="1000" customHeight="1" spans="1:2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5" t="str">
        <f t="shared" si="4"/>
        <v/>
      </c>
      <c r="AB1000" s="5" t="s">
        <v>1</v>
      </c>
    </row>
  </sheetData>
  <printOptions horizontalCentered="1" gridLines="1"/>
  <pageMargins left="0.7" right="0.7" top="0.75" bottom="0.75" header="0" footer="0"/>
  <pageSetup paperSize="1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Ruvako Mabureki</dc:creator>
  <cp:lastModifiedBy>admin</cp:lastModifiedBy>
  <dcterms:created xsi:type="dcterms:W3CDTF">2024-07-29T12:15:00Z</dcterms:created>
  <dcterms:modified xsi:type="dcterms:W3CDTF">2024-08-08T13:00:47Z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516985D5D439494CB4DA8C3D0AF0BD25_12</vt:lpwstr>
  </property>
  <property fmtid="{D5CDD505-2E9C-101B-9397-08002B2CF9AE}" pid="3" name="KSOProductBuildVer">
    <vt:lpwstr>1033-12.2.0.17545</vt:lpwstr>
  </property>
</Properties>
</file>