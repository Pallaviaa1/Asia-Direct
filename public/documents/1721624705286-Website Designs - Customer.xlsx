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00" firstSheet="1" activeTab="1"/>
  </bookViews>
  <sheets>
    <sheet name="Client Contact Form" sheetId="5" r:id="rId1"/>
    <sheet name="Tracking" sheetId="1" r:id="rId2"/>
    <sheet name="Customer Form_Freight" sheetId="2" r:id="rId3"/>
    <sheet name="Freights Page" sheetId="3" r:id="rId4"/>
    <sheet name="Presentation of freight details" sheetId="4" r:id="rId5"/>
    <sheet name="Customs Clearing" sheetId="6" r:id="rId6"/>
    <sheet name="Customer Form_Clearing" sheetId="7" r:id="rId7"/>
    <sheet name="Form for Duty Calc" sheetId="8" r:id="rId8"/>
    <sheet name="Sheet1" sheetId="9" r:id="rId9"/>
    <sheet name="Sheet2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<sst xmlns="http://schemas.openxmlformats.org/spreadsheetml/2006/main" count="313" uniqueCount="165">
  <si>
    <t>Text</t>
  </si>
  <si>
    <t>Client Name (Company / Individual)</t>
  </si>
  <si>
    <t>Mandatory</t>
  </si>
  <si>
    <t>Contact Person</t>
  </si>
  <si>
    <t>Number</t>
  </si>
  <si>
    <t>Cellphone</t>
  </si>
  <si>
    <t>Telephone</t>
  </si>
  <si>
    <t>Optional</t>
  </si>
  <si>
    <t>Email</t>
  </si>
  <si>
    <t>Address 1</t>
  </si>
  <si>
    <t>Address 2</t>
  </si>
  <si>
    <t>City</t>
  </si>
  <si>
    <t>Province</t>
  </si>
  <si>
    <t>Country</t>
  </si>
  <si>
    <t>Code</t>
  </si>
  <si>
    <t>Company Reg / ID #</t>
  </si>
  <si>
    <t>Importers Ref</t>
  </si>
  <si>
    <t>Vat / Tax Ref</t>
  </si>
  <si>
    <t>Preferred communication</t>
  </si>
  <si>
    <t>Multiple selection allowed</t>
  </si>
  <si>
    <t>Button</t>
  </si>
  <si>
    <t>Whatsapp</t>
  </si>
  <si>
    <t>Colour is for Display purposes</t>
  </si>
  <si>
    <t>Collected from supplier</t>
  </si>
  <si>
    <t>Please include date &amp; time stamps at the time of update</t>
  </si>
  <si>
    <t>Received at  Asia Direct warehouse</t>
  </si>
  <si>
    <t>Dispatched to port</t>
  </si>
  <si>
    <t>Goods at origin port</t>
  </si>
  <si>
    <t>Goods are in transit</t>
  </si>
  <si>
    <t>Arrived at destination port</t>
  </si>
  <si>
    <t>Customs clearing in progress</t>
  </si>
  <si>
    <t>Customs released</t>
  </si>
  <si>
    <t>Goods in transit to warehouse</t>
  </si>
  <si>
    <t>Out for delivery</t>
  </si>
  <si>
    <t>Delivered</t>
  </si>
  <si>
    <t>Shipment details</t>
  </si>
  <si>
    <t>Freight Option</t>
  </si>
  <si>
    <t>Sea</t>
  </si>
  <si>
    <t>Air</t>
  </si>
  <si>
    <t>Road</t>
  </si>
  <si>
    <t>Rail</t>
  </si>
  <si>
    <t>we don’t normally use this</t>
  </si>
  <si>
    <t>Do this</t>
  </si>
  <si>
    <r>
      <rPr>
        <sz val="11"/>
        <color theme="1"/>
        <rFont val="Aptos Narrow"/>
        <charset val="134"/>
        <scheme val="minor"/>
      </rPr>
      <t>If freight option =</t>
    </r>
    <r>
      <rPr>
        <b/>
        <sz val="11"/>
        <color theme="1"/>
        <rFont val="Aptos Narrow"/>
        <charset val="134"/>
        <scheme val="minor"/>
      </rPr>
      <t xml:space="preserve"> "Sea"</t>
    </r>
  </si>
  <si>
    <t>Full container</t>
  </si>
  <si>
    <t>Either one of the options to appear depending Freight option chosen</t>
  </si>
  <si>
    <t>Less than container size</t>
  </si>
  <si>
    <r>
      <rPr>
        <sz val="11"/>
        <color theme="1"/>
        <rFont val="Aptos Narrow"/>
        <charset val="134"/>
        <scheme val="minor"/>
      </rPr>
      <t>If freight option =</t>
    </r>
    <r>
      <rPr>
        <b/>
        <sz val="11"/>
        <color theme="1"/>
        <rFont val="Aptos Narrow"/>
        <charset val="134"/>
        <scheme val="minor"/>
      </rPr>
      <t xml:space="preserve"> "Road"</t>
    </r>
  </si>
  <si>
    <t>Full Load</t>
  </si>
  <si>
    <t>Small cargo for consol</t>
  </si>
  <si>
    <t>Shipment details (mandatory)</t>
  </si>
  <si>
    <t>Origin</t>
  </si>
  <si>
    <t>Destination</t>
  </si>
  <si>
    <t>Shipper will deliver at Asia Direct - Africa warehouse</t>
  </si>
  <si>
    <t>Consignee will collect at Asia Direct - Africa warehouse</t>
  </si>
  <si>
    <t>Asia Direct will collect from shipper address</t>
  </si>
  <si>
    <t>Asia Direct will deliver to consignee delivery address</t>
  </si>
  <si>
    <t>Shipper will deliver to the port of loading,</t>
  </si>
  <si>
    <t>Consignee will collect at the nearest port</t>
  </si>
  <si>
    <t>Shipper will deliver and facilitate export at the Port of loading</t>
  </si>
  <si>
    <t>Consignee will collect and facilitate import at destination port</t>
  </si>
  <si>
    <t>Fill in field</t>
  </si>
  <si>
    <t>Your Shipment reference</t>
  </si>
  <si>
    <t xml:space="preserve">Are you the </t>
  </si>
  <si>
    <t>Shipper</t>
  </si>
  <si>
    <t>Consignee</t>
  </si>
  <si>
    <t>Location details</t>
  </si>
  <si>
    <t>Collection from</t>
  </si>
  <si>
    <t xml:space="preserve">Delivery to </t>
  </si>
  <si>
    <t>Drop down</t>
  </si>
  <si>
    <t>Port of loading</t>
  </si>
  <si>
    <t>fill field</t>
  </si>
  <si>
    <t>Port of discharge</t>
  </si>
  <si>
    <t>Collection address</t>
  </si>
  <si>
    <t>Delivery address</t>
  </si>
  <si>
    <t>Cargo details</t>
  </si>
  <si>
    <t>Nature of goods</t>
  </si>
  <si>
    <t>Fill in field (Long Text Field)</t>
  </si>
  <si>
    <t>Product Description</t>
  </si>
  <si>
    <t>General cargo</t>
  </si>
  <si>
    <t>Battery</t>
  </si>
  <si>
    <t>Liquids</t>
  </si>
  <si>
    <t>Type of packaging</t>
  </si>
  <si>
    <t>Powders</t>
  </si>
  <si>
    <t>Box</t>
  </si>
  <si>
    <t>Harzadous</t>
  </si>
  <si>
    <t>Crate</t>
  </si>
  <si>
    <t>Pallet</t>
  </si>
  <si>
    <t>Bags</t>
  </si>
  <si>
    <t>fill in field (Numerical/ Decimal)</t>
  </si>
  <si>
    <t>Total Boxes/ crates/ pallets</t>
  </si>
  <si>
    <t>Fill in field (Numerical/ Decimal)</t>
  </si>
  <si>
    <t>Total Dimenions</t>
  </si>
  <si>
    <t>Cliient has option to fill in these these blue fields  or alternatively to add and calculated as follows</t>
  </si>
  <si>
    <t>Total Weight</t>
  </si>
  <si>
    <t>Auto Calculate</t>
  </si>
  <si>
    <t>Volumentric Weight</t>
  </si>
  <si>
    <t>Calculator please see video provided</t>
  </si>
  <si>
    <t>Fill n field</t>
  </si>
  <si>
    <t>Comment</t>
  </si>
  <si>
    <t>Add attachments</t>
  </si>
  <si>
    <t>Supplier Invoice / Quotation / Proforma Invoice</t>
  </si>
  <si>
    <t>Packing List</t>
  </si>
  <si>
    <t>Licenses/Permits</t>
  </si>
  <si>
    <t>Other documents</t>
  </si>
  <si>
    <t>Interface for shipments</t>
  </si>
  <si>
    <t>New Freight</t>
  </si>
  <si>
    <t>In transit is default page followed by shipments</t>
  </si>
  <si>
    <t>In transit</t>
  </si>
  <si>
    <r>
      <rPr>
        <sz val="11"/>
        <color theme="1"/>
        <rFont val="Aptos Narrow"/>
        <charset val="134"/>
        <scheme val="minor"/>
      </rPr>
      <t xml:space="preserve">Shipments </t>
    </r>
    <r>
      <rPr>
        <sz val="8"/>
        <color rgb="FFFF0000"/>
        <rFont val="Aptos Narrow"/>
        <charset val="134"/>
        <scheme val="minor"/>
      </rPr>
      <t>(all)</t>
    </r>
  </si>
  <si>
    <r>
      <rPr>
        <sz val="11"/>
        <color theme="1"/>
        <rFont val="Aptos Narrow"/>
        <charset val="134"/>
        <scheme val="minor"/>
      </rPr>
      <t>Drafts</t>
    </r>
    <r>
      <rPr>
        <sz val="8"/>
        <color rgb="FFFF0000"/>
        <rFont val="Aptos Narrow"/>
        <charset val="134"/>
        <scheme val="minor"/>
      </rPr>
      <t xml:space="preserve"> (Pending enquiries)</t>
    </r>
  </si>
  <si>
    <r>
      <rPr>
        <sz val="11"/>
        <color theme="1"/>
        <rFont val="Aptos Narrow"/>
        <charset val="134"/>
        <scheme val="minor"/>
      </rPr>
      <t>Archived</t>
    </r>
    <r>
      <rPr>
        <sz val="11"/>
        <color rgb="FFFF0000"/>
        <rFont val="Aptos Narrow"/>
        <charset val="134"/>
        <scheme val="minor"/>
      </rPr>
      <t xml:space="preserve"> </t>
    </r>
    <r>
      <rPr>
        <sz val="8"/>
        <color rgb="FFFF0000"/>
        <rFont val="Aptos Narrow"/>
        <charset val="134"/>
        <scheme val="minor"/>
      </rPr>
      <t>(Older than 120 days)</t>
    </r>
  </si>
  <si>
    <t>Colours are just for demonstation purposes</t>
  </si>
  <si>
    <t>Shipments list :         0001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</si>
  <si>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</si>
  <si>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</si>
  <si>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</si>
  <si>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</si>
  <si>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</si>
  <si>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</si>
  <si>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</si>
  <si>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</si>
  <si>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</si>
  <si>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The last three buttons should be</t>
  </si>
  <si>
    <t>Preview</t>
  </si>
  <si>
    <t>Edit</t>
  </si>
  <si>
    <t>Copy</t>
  </si>
  <si>
    <t>Get quote</t>
  </si>
  <si>
    <t>Query</t>
  </si>
  <si>
    <t>Print Waybill</t>
  </si>
  <si>
    <t>Print delivery note</t>
  </si>
  <si>
    <t>Delete</t>
  </si>
  <si>
    <t>Grey out if shipment has been collected</t>
  </si>
  <si>
    <t xml:space="preserve"> </t>
  </si>
  <si>
    <t xml:space="preserve">Use templates as per </t>
  </si>
  <si>
    <t>freights page</t>
  </si>
  <si>
    <t>Presentation of freight details</t>
  </si>
  <si>
    <t>Mode of Freight</t>
  </si>
  <si>
    <t>Is this an</t>
  </si>
  <si>
    <t>Export</t>
  </si>
  <si>
    <t>Import</t>
  </si>
  <si>
    <t>Port of clearance details</t>
  </si>
  <si>
    <t>Dropdown</t>
  </si>
  <si>
    <t>Comment on nature of goods</t>
  </si>
  <si>
    <t>Product Literature</t>
  </si>
  <si>
    <t>Client fills in</t>
  </si>
  <si>
    <t>System auto generates</t>
  </si>
  <si>
    <t>Product Description per client</t>
  </si>
  <si>
    <t>Value of goods</t>
  </si>
  <si>
    <t>Currency</t>
  </si>
  <si>
    <t>Hs code</t>
  </si>
  <si>
    <t>HS.code Description</t>
  </si>
  <si>
    <t>Duty</t>
  </si>
  <si>
    <t>Vat</t>
  </si>
  <si>
    <t>Total</t>
  </si>
  <si>
    <t>Should only allow 3 entries</t>
  </si>
  <si>
    <t>Shoes</t>
  </si>
  <si>
    <t>USD</t>
  </si>
  <si>
    <t>***Please wrap the text***</t>
  </si>
  <si>
    <t>Clothes</t>
  </si>
  <si>
    <t>Euro</t>
  </si>
  <si>
    <t>Caps</t>
  </si>
  <si>
    <t>Rupee</t>
  </si>
  <si>
    <t>Drop Down</t>
  </si>
  <si>
    <t>Colours are for reference purposes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</si>
</sst>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8"/>
      <color theme="1"/>
      <name val="Aptos Narrow"/>
      <charset val="134"/>
      <scheme val="minor"/>
    </font>
    <font>
      <i/>
      <sz val="11"/>
      <color theme="1"/>
      <name val="Aptos Narrow"/>
      <charset val="134"/>
      <scheme val="minor"/>
    </font>
    <font>
      <b/>
      <sz val="11"/>
      <color rgb="FFFF0000"/>
      <name val="Aptos Narrow"/>
      <charset val="134"/>
      <scheme val="minor"/>
    </font>
    <font>
      <sz val="11"/>
      <color theme="1"/>
      <name val="Bahnschrift SemiLight SemiConde"/>
      <charset val="134"/>
    </font>
    <font>
      <sz val="11"/>
      <name val="Aptos Narrow"/>
      <charset val="134"/>
      <scheme val="minor"/>
    </font>
    <font>
      <sz val="11"/>
      <color rgb="FFFF0000"/>
      <name val="Aptos Narrow"/>
      <charset val="134"/>
      <scheme val="minor"/>
    </font>
    <font>
      <sz val="8"/>
      <color theme="1"/>
      <name val="Aptos Narrow"/>
      <charset val="134"/>
      <scheme val="minor"/>
    </font>
    <font>
      <sz val="9"/>
      <color theme="1"/>
      <name val="Aptos Narrow"/>
      <charset val="134"/>
      <scheme val="minor"/>
    </font>
    <font>
      <sz val="12"/>
      <color theme="1"/>
      <name val="Aptos Narrow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8"/>
      <color rgb="FFFF0000"/>
      <name val="Aptos Narrow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theme="0" tint="-0.349986266670736"/>
      </left>
      <right style="medium">
        <color theme="0" tint="-0.349986266670736"/>
      </right>
      <top style="medium">
        <color theme="0" tint="-0.349986266670736"/>
      </top>
      <bottom/>
      <diagonal/>
    </border>
    <border>
      <left style="medium">
        <color theme="0" tint="-0.349986266670736"/>
      </left>
      <right style="medium">
        <color theme="0" tint="-0.349986266670736"/>
      </right>
      <top/>
      <bottom/>
      <diagonal/>
    </border>
    <border>
      <left style="medium">
        <color theme="0" tint="-0.349986266670736"/>
      </left>
      <right style="medium">
        <color theme="0" tint="-0.349986266670736"/>
      </right>
      <top/>
      <bottom style="medium">
        <color theme="0" tint="-0.34998626667073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theme="0" tint="-0.349986266670736"/>
      </left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/>
      <diagonal/>
    </border>
    <border>
      <left style="thin">
        <color theme="0" tint="-0.349986266670736"/>
      </left>
      <right style="thin">
        <color theme="0" tint="-0.349986266670736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2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28" applyNumberFormat="0" applyAlignment="0" applyProtection="0">
      <alignment vertical="center"/>
    </xf>
    <xf numFmtId="0" fontId="21" fillId="12" borderId="29" applyNumberFormat="0" applyAlignment="0" applyProtection="0">
      <alignment vertical="center"/>
    </xf>
    <xf numFmtId="0" fontId="22" fillId="12" borderId="28" applyNumberFormat="0" applyAlignment="0" applyProtection="0">
      <alignment vertical="center"/>
    </xf>
    <xf numFmtId="0" fontId="23" fillId="13" borderId="30" applyNumberFormat="0" applyAlignment="0" applyProtection="0">
      <alignment vertical="center"/>
    </xf>
    <xf numFmtId="0" fontId="24" fillId="0" borderId="31" applyNumberFormat="0" applyFill="0" applyAlignment="0" applyProtection="0">
      <alignment vertical="center"/>
    </xf>
    <xf numFmtId="0" fontId="25" fillId="0" borderId="32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68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/>
    <xf numFmtId="0" fontId="1" fillId="2" borderId="0" xfId="0" applyFont="1" applyFill="1"/>
    <xf numFmtId="0" fontId="1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0" xfId="0" applyFont="1"/>
    <xf numFmtId="0" fontId="0" fillId="3" borderId="0" xfId="0" applyFill="1" applyAlignment="1">
      <alignment horizontal="center" wrapText="1"/>
    </xf>
    <xf numFmtId="0" fontId="1" fillId="0" borderId="2" xfId="0" applyFont="1" applyBorder="1"/>
    <xf numFmtId="0" fontId="0" fillId="0" borderId="8" xfId="0" applyBorder="1"/>
    <xf numFmtId="0" fontId="1" fillId="0" borderId="3" xfId="0" applyFont="1" applyBorder="1"/>
    <xf numFmtId="0" fontId="0" fillId="0" borderId="4" xfId="0" applyBorder="1" applyAlignment="1">
      <alignment horizontal="center"/>
    </xf>
    <xf numFmtId="0" fontId="1" fillId="4" borderId="4" xfId="0" applyFont="1" applyFill="1" applyBorder="1"/>
    <xf numFmtId="0" fontId="0" fillId="0" borderId="9" xfId="0" applyBorder="1"/>
    <xf numFmtId="0" fontId="0" fillId="5" borderId="4" xfId="0" applyFill="1" applyBorder="1"/>
    <xf numFmtId="0" fontId="0" fillId="5" borderId="5" xfId="0" applyFill="1" applyBorder="1"/>
    <xf numFmtId="0" fontId="0" fillId="4" borderId="0" xfId="0" applyFill="1"/>
    <xf numFmtId="0" fontId="1" fillId="0" borderId="4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0" xfId="0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6" borderId="12" xfId="0" applyFont="1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7" fillId="0" borderId="0" xfId="0" applyFont="1"/>
    <xf numFmtId="0" fontId="0" fillId="2" borderId="15" xfId="0" applyFill="1" applyBorder="1" applyAlignment="1">
      <alignment wrapText="1"/>
    </xf>
    <xf numFmtId="0" fontId="0" fillId="7" borderId="16" xfId="0" applyFill="1" applyBorder="1" applyAlignment="1">
      <alignment wrapText="1"/>
    </xf>
    <xf numFmtId="0" fontId="8" fillId="8" borderId="16" xfId="0" applyFont="1" applyFill="1" applyBorder="1" applyAlignment="1">
      <alignment wrapText="1"/>
    </xf>
    <xf numFmtId="0" fontId="0" fillId="9" borderId="15" xfId="0" applyFill="1" applyBorder="1" applyAlignment="1">
      <alignment wrapText="1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5" borderId="0" xfId="0" applyFill="1"/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3" borderId="0" xfId="0" applyFill="1"/>
    <xf numFmtId="0" fontId="0" fillId="0" borderId="20" xfId="0" applyBorder="1" applyAlignment="1">
      <alignment horizontal="center" wrapText="1"/>
    </xf>
    <xf numFmtId="0" fontId="1" fillId="6" borderId="0" xfId="0" applyFont="1" applyFill="1"/>
    <xf numFmtId="0" fontId="0" fillId="0" borderId="0" xfId="0" applyAlignment="1">
      <alignment horizontal="center" wrapText="1"/>
    </xf>
    <xf numFmtId="0" fontId="1" fillId="6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0" fillId="5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0" fillId="2" borderId="0" xfId="0" applyFill="1" applyAlignment="1">
      <alignment horizontal="center" wrapText="1"/>
    </xf>
    <xf numFmtId="0" fontId="11" fillId="0" borderId="21" xfId="0" applyFont="1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9" fillId="0" borderId="0" xfId="0" applyFont="1" applyAlignment="1" quotePrefix="1">
      <alignment horizontal="center"/>
    </xf>
    <xf numFmtId="0" fontId="0" fillId="0" borderId="0" xfId="0" applyAlignment="1" quotePrefix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287614</xdr:colOff>
      <xdr:row>1</xdr:row>
      <xdr:rowOff>144780</xdr:rowOff>
    </xdr:from>
    <xdr:to>
      <xdr:col>20</xdr:col>
      <xdr:colOff>22860</xdr:colOff>
      <xdr:row>20</xdr:row>
      <xdr:rowOff>167640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7020" y="325755"/>
          <a:ext cx="13451840" cy="4021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showGridLines="0" workbookViewId="0">
      <selection activeCell="B15" sqref="B2:B15"/>
    </sheetView>
  </sheetViews>
  <sheetFormatPr defaultColWidth="9" defaultRowHeight="14.25" outlineLevelCol="3"/>
  <cols>
    <col min="1" max="1" width="10.3333333333333" customWidth="1"/>
    <col min="2" max="2" width="47.3333333333333" customWidth="1"/>
    <col min="3" max="3" width="10.1083333333333" customWidth="1"/>
  </cols>
  <sheetData>
    <row r="1" ht="15"/>
    <row r="2" ht="22.8" customHeight="1" spans="1:3">
      <c r="A2" t="s">
        <v>0</v>
      </c>
      <c r="B2" s="61" t="s">
        <v>1</v>
      </c>
      <c r="C2" t="s">
        <v>2</v>
      </c>
    </row>
    <row r="3" ht="22.8" customHeight="1" spans="1:3">
      <c r="A3" t="s">
        <v>0</v>
      </c>
      <c r="B3" s="62" t="s">
        <v>3</v>
      </c>
      <c r="C3" t="s">
        <v>2</v>
      </c>
    </row>
    <row r="4" ht="22.8" customHeight="1" spans="1:3">
      <c r="A4" t="s">
        <v>4</v>
      </c>
      <c r="B4" s="62" t="s">
        <v>5</v>
      </c>
      <c r="C4" t="s">
        <v>2</v>
      </c>
    </row>
    <row r="5" ht="22.8" customHeight="1" spans="1:3">
      <c r="A5" t="s">
        <v>4</v>
      </c>
      <c r="B5" s="62" t="s">
        <v>6</v>
      </c>
      <c r="C5" t="s">
        <v>7</v>
      </c>
    </row>
    <row r="6" ht="22.8" customHeight="1" spans="1:3">
      <c r="A6" t="s">
        <v>0</v>
      </c>
      <c r="B6" s="62" t="s">
        <v>8</v>
      </c>
      <c r="C6" t="s">
        <v>2</v>
      </c>
    </row>
    <row r="7" ht="22.8" customHeight="1" spans="1:3">
      <c r="A7" t="s">
        <v>0</v>
      </c>
      <c r="B7" s="62" t="s">
        <v>9</v>
      </c>
      <c r="C7" t="s">
        <v>7</v>
      </c>
    </row>
    <row r="8" ht="22.8" customHeight="1" spans="1:3">
      <c r="A8" t="s">
        <v>0</v>
      </c>
      <c r="B8" s="62" t="s">
        <v>10</v>
      </c>
      <c r="C8" t="s">
        <v>7</v>
      </c>
    </row>
    <row r="9" ht="22.8" customHeight="1" spans="1:3">
      <c r="A9" t="s">
        <v>0</v>
      </c>
      <c r="B9" s="62" t="s">
        <v>11</v>
      </c>
      <c r="C9" t="s">
        <v>2</v>
      </c>
    </row>
    <row r="10" ht="22.8" customHeight="1" spans="1:3">
      <c r="A10" t="s">
        <v>0</v>
      </c>
      <c r="B10" s="62" t="s">
        <v>12</v>
      </c>
      <c r="C10" t="s">
        <v>2</v>
      </c>
    </row>
    <row r="11" ht="22.8" customHeight="1" spans="1:3">
      <c r="A11" t="s">
        <v>0</v>
      </c>
      <c r="B11" s="62" t="s">
        <v>13</v>
      </c>
      <c r="C11" t="s">
        <v>2</v>
      </c>
    </row>
    <row r="12" ht="22.8" customHeight="1" spans="1:3">
      <c r="A12" t="s">
        <v>0</v>
      </c>
      <c r="B12" s="62" t="s">
        <v>14</v>
      </c>
      <c r="C12" t="s">
        <v>2</v>
      </c>
    </row>
    <row r="13" ht="22.8" customHeight="1" spans="1:3">
      <c r="A13" t="s">
        <v>0</v>
      </c>
      <c r="B13" s="62" t="s">
        <v>15</v>
      </c>
      <c r="C13" t="s">
        <v>2</v>
      </c>
    </row>
    <row r="14" ht="22.8" customHeight="1" spans="1:3">
      <c r="A14" t="s">
        <v>0</v>
      </c>
      <c r="B14" s="62" t="s">
        <v>16</v>
      </c>
      <c r="C14" t="s">
        <v>7</v>
      </c>
    </row>
    <row r="15" ht="22.8" customHeight="1" spans="1:3">
      <c r="A15" t="s">
        <v>0</v>
      </c>
      <c r="B15" s="63" t="s">
        <v>17</v>
      </c>
      <c r="C15" t="s">
        <v>7</v>
      </c>
    </row>
    <row r="16" ht="22.8" customHeight="1" spans="2:4">
      <c r="B16" s="64" t="s">
        <v>18</v>
      </c>
      <c r="D16" s="65" t="s">
        <v>19</v>
      </c>
    </row>
    <row r="17" ht="14.4" customHeight="1" spans="2:4">
      <c r="B17" s="63" t="s">
        <v>8</v>
      </c>
      <c r="C17" t="s">
        <v>20</v>
      </c>
      <c r="D17" s="66"/>
    </row>
    <row r="18" spans="2:4">
      <c r="B18" s="63" t="s">
        <v>6</v>
      </c>
      <c r="C18" t="s">
        <v>20</v>
      </c>
      <c r="D18" s="66"/>
    </row>
    <row r="19" spans="2:4">
      <c r="B19" s="63" t="s">
        <v>21</v>
      </c>
      <c r="C19" t="s">
        <v>20</v>
      </c>
      <c r="D19" s="67"/>
    </row>
  </sheetData>
  <mergeCells count="1">
    <mergeCell ref="D16:D1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6"/>
  <sheetViews>
    <sheetView showGridLines="0" tabSelected="1" topLeftCell="A8" workbookViewId="0">
      <selection activeCell="B12" sqref="B12"/>
    </sheetView>
  </sheetViews>
  <sheetFormatPr defaultColWidth="9" defaultRowHeight="14.25" outlineLevelCol="7"/>
  <cols>
    <col min="1" max="1" width="7.33333333333333" customWidth="1"/>
    <col min="2" max="2" width="13.8833333333333" customWidth="1"/>
    <col min="3" max="3" width="1" customWidth="1"/>
    <col min="4" max="4" width="13.1083333333333" customWidth="1"/>
  </cols>
  <sheetData>
    <row r="2" ht="15" spans="2:4">
      <c r="B2" s="56" t="s">
        <v>22</v>
      </c>
      <c r="C2" s="56"/>
      <c r="D2" s="56"/>
    </row>
    <row r="4" ht="30" spans="1:8">
      <c r="A4" s="57">
        <v>1</v>
      </c>
      <c r="B4" s="58" t="s">
        <v>23</v>
      </c>
      <c r="C4" s="58"/>
      <c r="D4" s="59"/>
      <c r="F4" s="60" t="s">
        <v>24</v>
      </c>
      <c r="G4" s="60"/>
      <c r="H4" s="60"/>
    </row>
    <row r="5" ht="25.2" customHeight="1" spans="1:4">
      <c r="A5" s="57"/>
      <c r="B5" s="59"/>
      <c r="C5" s="58"/>
      <c r="D5" s="59"/>
    </row>
    <row r="6" ht="45" spans="1:4">
      <c r="A6" s="57">
        <v>2</v>
      </c>
      <c r="B6" s="59"/>
      <c r="C6" s="58"/>
      <c r="D6" s="58" t="s">
        <v>25</v>
      </c>
    </row>
    <row r="7" ht="25.2" customHeight="1" spans="1:4">
      <c r="A7" s="57"/>
      <c r="B7" s="59"/>
      <c r="C7" s="58"/>
      <c r="D7" s="59"/>
    </row>
    <row r="8" ht="30" spans="1:4">
      <c r="A8" s="57">
        <v>3</v>
      </c>
      <c r="B8" s="58" t="s">
        <v>26</v>
      </c>
      <c r="C8" s="58"/>
      <c r="D8" s="59"/>
    </row>
    <row r="9" ht="25.2" customHeight="1" spans="1:4">
      <c r="A9" s="57"/>
      <c r="B9" s="59"/>
      <c r="C9" s="58"/>
      <c r="D9" s="59"/>
    </row>
    <row r="10" ht="30" spans="1:4">
      <c r="A10" s="57">
        <v>4</v>
      </c>
      <c r="B10" s="59"/>
      <c r="C10" s="58"/>
      <c r="D10" s="58" t="s">
        <v>27</v>
      </c>
    </row>
    <row r="11" ht="25.2" customHeight="1" spans="1:4">
      <c r="A11" s="57"/>
      <c r="B11" s="59"/>
      <c r="C11" s="58"/>
      <c r="D11" s="59"/>
    </row>
    <row r="12" ht="30" spans="1:4">
      <c r="A12" s="57">
        <v>5</v>
      </c>
      <c r="B12" s="58" t="s">
        <v>28</v>
      </c>
      <c r="C12" s="58"/>
      <c r="D12" s="59"/>
    </row>
    <row r="13" ht="25.2" customHeight="1" spans="1:4">
      <c r="A13" s="57"/>
      <c r="B13" s="59"/>
      <c r="C13" s="58"/>
      <c r="D13" s="59"/>
    </row>
    <row r="14" ht="45" spans="1:4">
      <c r="A14" s="57">
        <v>6</v>
      </c>
      <c r="B14" s="59"/>
      <c r="C14" s="58"/>
      <c r="D14" s="58" t="s">
        <v>29</v>
      </c>
    </row>
    <row r="15" ht="25.2" customHeight="1" spans="1:4">
      <c r="A15" s="57"/>
      <c r="B15" s="59"/>
      <c r="C15" s="58"/>
      <c r="D15" s="59"/>
    </row>
    <row r="16" ht="45" spans="1:4">
      <c r="A16" s="57">
        <v>7</v>
      </c>
      <c r="B16" s="58" t="s">
        <v>30</v>
      </c>
      <c r="C16" s="58"/>
      <c r="D16" s="59"/>
    </row>
    <row r="17" ht="25.2" customHeight="1" spans="1:4">
      <c r="A17" s="57"/>
      <c r="B17" s="59"/>
      <c r="C17" s="58"/>
      <c r="D17" s="59"/>
    </row>
    <row r="18" ht="30" spans="1:4">
      <c r="A18" s="57">
        <v>8</v>
      </c>
      <c r="B18" s="59"/>
      <c r="C18" s="58"/>
      <c r="D18" s="58" t="s">
        <v>31</v>
      </c>
    </row>
    <row r="19" ht="25.2" customHeight="1" spans="1:4">
      <c r="A19" s="57"/>
      <c r="B19" s="59"/>
      <c r="C19" s="58"/>
      <c r="D19" s="59"/>
    </row>
    <row r="20" ht="45" spans="1:4">
      <c r="A20" s="57">
        <v>9</v>
      </c>
      <c r="B20" s="58" t="s">
        <v>32</v>
      </c>
      <c r="C20" s="58"/>
      <c r="D20" s="59"/>
    </row>
    <row r="21" ht="25.2" customHeight="1" spans="1:4">
      <c r="A21" s="57"/>
      <c r="B21" s="59"/>
      <c r="C21" s="58"/>
      <c r="D21" s="59"/>
    </row>
    <row r="22" ht="45" spans="1:4">
      <c r="A22" s="57">
        <v>10</v>
      </c>
      <c r="B22" s="59"/>
      <c r="C22" s="58"/>
      <c r="D22" s="58" t="s">
        <v>25</v>
      </c>
    </row>
    <row r="23" ht="25.2" customHeight="1" spans="1:4">
      <c r="A23" s="57"/>
      <c r="B23" s="59"/>
      <c r="C23" s="58"/>
      <c r="D23" s="59"/>
    </row>
    <row r="24" ht="15" spans="1:4">
      <c r="A24" s="57">
        <v>11</v>
      </c>
      <c r="B24" s="58" t="s">
        <v>33</v>
      </c>
      <c r="C24" s="58"/>
      <c r="D24" s="59"/>
    </row>
    <row r="25" ht="25.2" customHeight="1" spans="1:4">
      <c r="A25" s="57"/>
      <c r="B25" s="59"/>
      <c r="C25" s="58"/>
      <c r="D25" s="59"/>
    </row>
    <row r="26" ht="15" customHeight="1" spans="1:4">
      <c r="A26" s="57">
        <v>12</v>
      </c>
      <c r="B26" s="59"/>
      <c r="C26" s="58"/>
      <c r="D26" s="58" t="s">
        <v>34</v>
      </c>
    </row>
  </sheetData>
  <mergeCells count="2">
    <mergeCell ref="B2:D2"/>
    <mergeCell ref="F4:H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"/>
  <sheetViews>
    <sheetView showGridLines="0" topLeftCell="A63" workbookViewId="0">
      <selection activeCell="E56" sqref="E56"/>
    </sheetView>
  </sheetViews>
  <sheetFormatPr defaultColWidth="9" defaultRowHeight="14.25" outlineLevelCol="5"/>
  <cols>
    <col min="1" max="1" width="9.44166666666667" customWidth="1"/>
    <col min="2" max="2" width="46.4416666666667" customWidth="1"/>
    <col min="3" max="3" width="22.2166666666667" customWidth="1"/>
    <col min="4" max="4" width="50.2166666666667" customWidth="1"/>
    <col min="5" max="5" width="16.2166666666667" customWidth="1"/>
  </cols>
  <sheetData>
    <row r="1" ht="23.25" spans="2:2">
      <c r="B1" s="12" t="s">
        <v>35</v>
      </c>
    </row>
    <row r="3" ht="15"/>
    <row r="4" spans="2:4">
      <c r="B4" s="13" t="s">
        <v>36</v>
      </c>
      <c r="C4" s="14" t="s">
        <v>37</v>
      </c>
      <c r="D4" t="s">
        <v>20</v>
      </c>
    </row>
    <row r="5" spans="2:4">
      <c r="B5" s="15"/>
      <c r="C5" s="16" t="s">
        <v>38</v>
      </c>
      <c r="D5" t="s">
        <v>20</v>
      </c>
    </row>
    <row r="6" spans="2:4">
      <c r="B6" s="15"/>
      <c r="C6" s="16" t="s">
        <v>39</v>
      </c>
      <c r="D6" t="s">
        <v>20</v>
      </c>
    </row>
    <row r="7" ht="15" spans="2:4">
      <c r="B7" s="17"/>
      <c r="C7" s="18" t="s">
        <v>40</v>
      </c>
      <c r="D7" s="19" t="s">
        <v>41</v>
      </c>
    </row>
    <row r="8" ht="15" spans="1:5">
      <c r="A8" t="s">
        <v>42</v>
      </c>
      <c r="B8" s="13" t="s">
        <v>43</v>
      </c>
      <c r="C8" s="14" t="s">
        <v>44</v>
      </c>
      <c r="D8" s="9" t="s">
        <v>20</v>
      </c>
      <c r="E8" s="20" t="s">
        <v>45</v>
      </c>
    </row>
    <row r="9" ht="15" spans="2:5">
      <c r="B9" s="17"/>
      <c r="C9" s="18" t="s">
        <v>46</v>
      </c>
      <c r="D9" s="9" t="s">
        <v>20</v>
      </c>
      <c r="E9" s="20"/>
    </row>
    <row r="10" ht="15" spans="1:5">
      <c r="A10" t="s">
        <v>42</v>
      </c>
      <c r="B10" s="13" t="s">
        <v>47</v>
      </c>
      <c r="C10" s="14" t="s">
        <v>48</v>
      </c>
      <c r="D10" s="9" t="s">
        <v>20</v>
      </c>
      <c r="E10" s="20"/>
    </row>
    <row r="11" ht="15" spans="2:5">
      <c r="B11" s="17"/>
      <c r="C11" s="18" t="s">
        <v>49</v>
      </c>
      <c r="D11" s="9" t="s">
        <v>20</v>
      </c>
      <c r="E11" s="20"/>
    </row>
    <row r="12" spans="2:3">
      <c r="B12" s="15"/>
      <c r="C12" s="16"/>
    </row>
    <row r="13" spans="2:3">
      <c r="B13" s="15"/>
      <c r="C13" s="16"/>
    </row>
    <row r="14" ht="15" spans="2:3">
      <c r="B14" s="17"/>
      <c r="C14" s="18"/>
    </row>
    <row r="17" ht="15.75" spans="2:2">
      <c r="B17" s="11" t="s">
        <v>50</v>
      </c>
    </row>
    <row r="18" ht="15" spans="2:4">
      <c r="B18" s="21" t="s">
        <v>51</v>
      </c>
      <c r="C18" s="22"/>
      <c r="D18" s="23" t="s">
        <v>52</v>
      </c>
    </row>
    <row r="19" spans="1:5">
      <c r="A19" t="s">
        <v>20</v>
      </c>
      <c r="B19" s="15" t="s">
        <v>53</v>
      </c>
      <c r="D19" s="16" t="s">
        <v>54</v>
      </c>
      <c r="E19" t="s">
        <v>20</v>
      </c>
    </row>
    <row r="20" spans="1:5">
      <c r="A20" t="s">
        <v>20</v>
      </c>
      <c r="B20" s="15" t="s">
        <v>55</v>
      </c>
      <c r="D20" s="16" t="s">
        <v>56</v>
      </c>
      <c r="E20" t="s">
        <v>20</v>
      </c>
    </row>
    <row r="21" spans="1:5">
      <c r="A21" t="s">
        <v>20</v>
      </c>
      <c r="B21" s="15" t="s">
        <v>57</v>
      </c>
      <c r="D21" s="16" t="s">
        <v>58</v>
      </c>
      <c r="E21" t="s">
        <v>20</v>
      </c>
    </row>
    <row r="22" ht="15" spans="1:5">
      <c r="A22" t="s">
        <v>20</v>
      </c>
      <c r="B22" s="17" t="s">
        <v>59</v>
      </c>
      <c r="C22" s="26"/>
      <c r="D22" s="18" t="s">
        <v>60</v>
      </c>
      <c r="E22" t="s">
        <v>20</v>
      </c>
    </row>
    <row r="23" ht="15"/>
    <row r="24" ht="15" spans="1:4">
      <c r="A24" t="s">
        <v>61</v>
      </c>
      <c r="B24" s="21" t="s">
        <v>62</v>
      </c>
      <c r="C24" s="22"/>
      <c r="D24" s="23" t="s">
        <v>63</v>
      </c>
    </row>
    <row r="25" spans="2:5">
      <c r="B25" s="15"/>
      <c r="D25" s="16" t="s">
        <v>64</v>
      </c>
      <c r="E25" t="s">
        <v>20</v>
      </c>
    </row>
    <row r="26" ht="15" spans="2:5">
      <c r="B26" s="17"/>
      <c r="C26" s="26"/>
      <c r="D26" s="18" t="s">
        <v>65</v>
      </c>
      <c r="E26" t="s">
        <v>20</v>
      </c>
    </row>
    <row r="28" ht="15.75" spans="2:2">
      <c r="B28" s="11" t="s">
        <v>66</v>
      </c>
    </row>
    <row r="29" ht="15" spans="2:4">
      <c r="B29" s="21" t="s">
        <v>67</v>
      </c>
      <c r="C29" s="22"/>
      <c r="D29" s="23" t="s">
        <v>68</v>
      </c>
    </row>
    <row r="30" spans="1:4">
      <c r="A30" t="s">
        <v>2</v>
      </c>
      <c r="B30" s="27" t="s">
        <v>13</v>
      </c>
      <c r="C30" t="s">
        <v>69</v>
      </c>
      <c r="D30" s="28" t="s">
        <v>13</v>
      </c>
    </row>
    <row r="31" spans="1:4">
      <c r="A31" t="s">
        <v>7</v>
      </c>
      <c r="B31" s="15" t="s">
        <v>70</v>
      </c>
      <c r="C31" t="s">
        <v>71</v>
      </c>
      <c r="D31" s="16" t="s">
        <v>72</v>
      </c>
    </row>
    <row r="32" spans="1:4">
      <c r="A32" t="s">
        <v>7</v>
      </c>
      <c r="B32" s="15" t="s">
        <v>73</v>
      </c>
      <c r="C32" t="s">
        <v>71</v>
      </c>
      <c r="D32" s="16" t="s">
        <v>74</v>
      </c>
    </row>
    <row r="33" ht="15" spans="2:4">
      <c r="B33" s="17"/>
      <c r="C33" s="26"/>
      <c r="D33" s="18"/>
    </row>
    <row r="34" ht="15"/>
    <row r="35" ht="15.75" spans="2:4">
      <c r="B35" s="21" t="s">
        <v>75</v>
      </c>
      <c r="C35" s="22"/>
      <c r="D35" s="23" t="s">
        <v>76</v>
      </c>
    </row>
    <row r="36" spans="1:6">
      <c r="A36" t="s">
        <v>77</v>
      </c>
      <c r="B36" s="15" t="s">
        <v>78</v>
      </c>
      <c r="D36" s="16" t="s">
        <v>79</v>
      </c>
      <c r="E36" t="s">
        <v>20</v>
      </c>
      <c r="F36" s="46" t="s">
        <v>19</v>
      </c>
    </row>
    <row r="37" spans="2:6">
      <c r="B37" s="15"/>
      <c r="D37" s="16" t="s">
        <v>80</v>
      </c>
      <c r="E37" t="s">
        <v>20</v>
      </c>
      <c r="F37" s="47"/>
    </row>
    <row r="38" spans="2:6">
      <c r="B38" s="15"/>
      <c r="D38" s="16" t="s">
        <v>81</v>
      </c>
      <c r="E38" t="s">
        <v>20</v>
      </c>
      <c r="F38" s="47"/>
    </row>
    <row r="39" ht="15" spans="1:6">
      <c r="A39" t="s">
        <v>69</v>
      </c>
      <c r="B39" s="30" t="s">
        <v>82</v>
      </c>
      <c r="D39" s="16" t="s">
        <v>83</v>
      </c>
      <c r="E39" t="s">
        <v>20</v>
      </c>
      <c r="F39" s="47"/>
    </row>
    <row r="40" ht="15" spans="2:6">
      <c r="B40" s="15" t="s">
        <v>84</v>
      </c>
      <c r="D40" s="16" t="s">
        <v>85</v>
      </c>
      <c r="E40" t="s">
        <v>20</v>
      </c>
      <c r="F40" s="48"/>
    </row>
    <row r="41" spans="2:4">
      <c r="B41" s="15" t="s">
        <v>86</v>
      </c>
      <c r="D41" s="16"/>
    </row>
    <row r="42" spans="2:4">
      <c r="B42" s="15" t="s">
        <v>87</v>
      </c>
      <c r="D42" s="16"/>
    </row>
    <row r="43" spans="2:4">
      <c r="B43" s="15" t="s">
        <v>88</v>
      </c>
      <c r="D43" s="16"/>
    </row>
    <row r="44" ht="15" spans="2:4">
      <c r="B44" s="15"/>
      <c r="D44" s="16"/>
    </row>
    <row r="45" spans="1:5">
      <c r="A45" t="s">
        <v>89</v>
      </c>
      <c r="B45" s="27" t="s">
        <v>90</v>
      </c>
      <c r="C45" t="s">
        <v>91</v>
      </c>
      <c r="D45" s="49" t="s">
        <v>92</v>
      </c>
      <c r="E45" s="50" t="s">
        <v>93</v>
      </c>
    </row>
    <row r="46" ht="14.4" customHeight="1" spans="2:5">
      <c r="B46" s="15"/>
      <c r="E46" s="51"/>
    </row>
    <row r="47" spans="2:5">
      <c r="B47" s="15"/>
      <c r="E47" s="51"/>
    </row>
    <row r="48" spans="2:5">
      <c r="B48" s="15"/>
      <c r="E48" s="51"/>
    </row>
    <row r="49" spans="2:5">
      <c r="B49" s="15"/>
      <c r="E49" s="51"/>
    </row>
    <row r="50" spans="2:5">
      <c r="B50" s="15"/>
      <c r="E50" s="51"/>
    </row>
    <row r="51" ht="15" spans="1:5">
      <c r="A51" t="s">
        <v>89</v>
      </c>
      <c r="B51" s="27" t="s">
        <v>94</v>
      </c>
      <c r="C51" s="33" t="s">
        <v>95</v>
      </c>
      <c r="D51" s="52" t="s">
        <v>96</v>
      </c>
      <c r="E51" s="53"/>
    </row>
    <row r="52" ht="15" spans="2:4">
      <c r="B52" s="17"/>
      <c r="C52" s="26"/>
      <c r="D52" s="18"/>
    </row>
    <row r="54" ht="15" spans="2:2">
      <c r="B54" s="54" t="s">
        <v>97</v>
      </c>
    </row>
    <row r="55" ht="15"/>
    <row r="56" spans="1:5">
      <c r="A56" t="s">
        <v>98</v>
      </c>
      <c r="B56" s="13" t="s">
        <v>99</v>
      </c>
      <c r="C56" s="22"/>
      <c r="D56" s="14"/>
      <c r="E56" t="s">
        <v>7</v>
      </c>
    </row>
    <row r="57" spans="2:4">
      <c r="B57" s="15"/>
      <c r="D57" s="16"/>
    </row>
    <row r="58" spans="2:4">
      <c r="B58" s="15"/>
      <c r="D58" s="16"/>
    </row>
    <row r="59" spans="2:4">
      <c r="B59" s="15"/>
      <c r="D59" s="16"/>
    </row>
    <row r="60" ht="15" spans="2:4">
      <c r="B60" s="17"/>
      <c r="C60" s="26"/>
      <c r="D60" s="18"/>
    </row>
    <row r="62" ht="15"/>
    <row r="63" spans="1:5">
      <c r="A63" s="55" t="s">
        <v>100</v>
      </c>
      <c r="B63" s="13" t="s">
        <v>101</v>
      </c>
      <c r="C63" s="22"/>
      <c r="D63" s="14"/>
      <c r="E63" t="s">
        <v>7</v>
      </c>
    </row>
    <row r="64" spans="1:5">
      <c r="A64" s="55"/>
      <c r="B64" s="15" t="s">
        <v>102</v>
      </c>
      <c r="D64" s="16"/>
      <c r="E64" t="s">
        <v>7</v>
      </c>
    </row>
    <row r="65" spans="1:5">
      <c r="A65" s="55"/>
      <c r="B65" s="15" t="s">
        <v>103</v>
      </c>
      <c r="D65" s="16"/>
      <c r="E65" t="s">
        <v>7</v>
      </c>
    </row>
    <row r="66" ht="15" spans="1:5">
      <c r="A66" s="55"/>
      <c r="B66" s="17" t="s">
        <v>104</v>
      </c>
      <c r="C66" s="26"/>
      <c r="D66" s="18"/>
      <c r="E66" t="s">
        <v>7</v>
      </c>
    </row>
  </sheetData>
  <mergeCells count="4">
    <mergeCell ref="A63:A66"/>
    <mergeCell ref="E8:E11"/>
    <mergeCell ref="E45:E51"/>
    <mergeCell ref="F36:F40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showGridLines="0" workbookViewId="0">
      <selection activeCell="B3" sqref="B3"/>
    </sheetView>
  </sheetViews>
  <sheetFormatPr defaultColWidth="9" defaultRowHeight="14.25" outlineLevelCol="6"/>
  <cols>
    <col min="1" max="1" width="19.6666666666667" customWidth="1"/>
    <col min="2" max="2" width="10.4416666666667" customWidth="1"/>
    <col min="3" max="3" width="14.8833333333333" customWidth="1"/>
    <col min="4" max="4" width="14.6666666666667" customWidth="1"/>
    <col min="5" max="5" width="13.5583333333333" customWidth="1"/>
  </cols>
  <sheetData>
    <row r="1" spans="1:1">
      <c r="A1" t="s">
        <v>105</v>
      </c>
    </row>
    <row r="3" spans="2:2">
      <c r="B3" s="36"/>
    </row>
    <row r="4" spans="2:6">
      <c r="B4" s="37" t="s">
        <v>106</v>
      </c>
      <c r="E4" s="38"/>
      <c r="F4" s="39"/>
    </row>
    <row r="5" spans="2:2">
      <c r="B5" s="40" t="s">
        <v>107</v>
      </c>
    </row>
    <row r="6" ht="25.5" spans="2:7">
      <c r="B6" s="41" t="s">
        <v>108</v>
      </c>
      <c r="C6" s="42" t="s">
        <v>109</v>
      </c>
      <c r="D6" s="43" t="s">
        <v>110</v>
      </c>
      <c r="E6" s="44" t="s">
        <v>111</v>
      </c>
      <c r="G6" t="s">
        <v>112</v>
      </c>
    </row>
    <row r="7" spans="1:6">
      <c r="A7" t="s">
        <v>113</v>
      </c>
      <c r="B7" s="45"/>
      <c r="C7" s="45"/>
      <c r="D7" s="45"/>
      <c r="E7" s="68" t="s">
        <v>114</v>
      </c>
      <c r="F7" s="45"/>
    </row>
    <row r="8" spans="1:6">
      <c r="A8" s="69" t="s">
        <v>115</v>
      </c>
      <c r="B8" s="45"/>
      <c r="C8" s="45"/>
      <c r="D8" s="45"/>
      <c r="E8" s="45" t="str">
        <f t="shared" ref="E8:E9" si="0">+A8</f>
        <v>0002</v>
      </c>
      <c r="F8" s="45"/>
    </row>
    <row r="9" spans="1:6">
      <c r="A9" s="69" t="s">
        <v>116</v>
      </c>
      <c r="B9" s="45"/>
      <c r="C9" s="45"/>
      <c r="D9" s="45"/>
      <c r="E9" s="45" t="str">
        <f t="shared" si="0"/>
        <v>0003</v>
      </c>
      <c r="F9" s="45"/>
    </row>
    <row r="10" spans="1:6">
      <c r="A10" s="69" t="s">
        <v>117</v>
      </c>
      <c r="B10" s="45" t="str">
        <f>+A10</f>
        <v>0004</v>
      </c>
      <c r="C10" s="45" t="str">
        <f>+A10</f>
        <v>0004</v>
      </c>
      <c r="D10" s="45"/>
      <c r="E10" s="45"/>
      <c r="F10" s="45"/>
    </row>
    <row r="11" spans="1:6">
      <c r="A11" s="69" t="s">
        <v>118</v>
      </c>
      <c r="B11" s="45"/>
      <c r="C11" s="45"/>
      <c r="D11" s="45" t="str">
        <f>+A11</f>
        <v>0005</v>
      </c>
      <c r="E11" s="45"/>
      <c r="F11" s="45"/>
    </row>
    <row r="12" spans="1:6">
      <c r="A12" s="69" t="s">
        <v>119</v>
      </c>
      <c r="B12" s="45" t="str">
        <f>+A12</f>
        <v>0006</v>
      </c>
      <c r="C12" s="45" t="str">
        <f>+A12</f>
        <v>0006</v>
      </c>
      <c r="D12" s="45"/>
      <c r="E12" s="45"/>
      <c r="F12" s="45"/>
    </row>
    <row r="13" spans="1:6">
      <c r="A13" s="69" t="s">
        <v>120</v>
      </c>
      <c r="B13" s="45"/>
      <c r="C13" s="45" t="str">
        <f>+A13</f>
        <v>0007</v>
      </c>
      <c r="D13" s="45"/>
      <c r="E13" s="45"/>
      <c r="F13" s="45"/>
    </row>
    <row r="14" spans="1:6">
      <c r="A14" s="69" t="s">
        <v>121</v>
      </c>
      <c r="B14" s="45" t="str">
        <f>+A14</f>
        <v>0008</v>
      </c>
      <c r="C14" s="45" t="str">
        <f>+A14</f>
        <v>0008</v>
      </c>
      <c r="D14" s="45"/>
      <c r="E14" s="45"/>
      <c r="F14" s="45"/>
    </row>
    <row r="15" spans="1:6">
      <c r="A15" s="69" t="s">
        <v>122</v>
      </c>
      <c r="B15" s="45"/>
      <c r="C15" s="45"/>
      <c r="D15" s="45" t="str">
        <f>+A15</f>
        <v>0009</v>
      </c>
      <c r="E15" s="45"/>
      <c r="F15" s="45"/>
    </row>
  </sheetData>
  <mergeCells count="1">
    <mergeCell ref="E4:F4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4:W26"/>
  <sheetViews>
    <sheetView showGridLines="0" workbookViewId="0">
      <selection activeCell="U6" sqref="U6"/>
    </sheetView>
  </sheetViews>
  <sheetFormatPr defaultColWidth="9" defaultRowHeight="14.25"/>
  <cols>
    <col min="21" max="21" width="3.775" customWidth="1"/>
  </cols>
  <sheetData>
    <row r="4" ht="57.6" customHeight="1" spans="22:23">
      <c r="V4" s="34" t="s">
        <v>123</v>
      </c>
      <c r="W4" s="34"/>
    </row>
    <row r="5" spans="21:22">
      <c r="U5">
        <v>1</v>
      </c>
      <c r="V5" t="s">
        <v>124</v>
      </c>
    </row>
    <row r="6" spans="21:22">
      <c r="U6">
        <v>2</v>
      </c>
      <c r="V6" t="s">
        <v>8</v>
      </c>
    </row>
    <row r="7" spans="21:22">
      <c r="U7">
        <v>3</v>
      </c>
      <c r="V7" t="s">
        <v>125</v>
      </c>
    </row>
    <row r="8" spans="21:22">
      <c r="U8">
        <v>4</v>
      </c>
      <c r="V8" t="s">
        <v>126</v>
      </c>
    </row>
    <row r="9" spans="21:22">
      <c r="U9">
        <v>5</v>
      </c>
      <c r="V9" t="s">
        <v>127</v>
      </c>
    </row>
    <row r="10" spans="21:22">
      <c r="U10">
        <v>6</v>
      </c>
      <c r="V10" t="s">
        <v>128</v>
      </c>
    </row>
    <row r="11" spans="21:22">
      <c r="U11">
        <v>7</v>
      </c>
      <c r="V11" t="s">
        <v>129</v>
      </c>
    </row>
    <row r="12" spans="21:22">
      <c r="U12">
        <v>8</v>
      </c>
      <c r="V12" t="s">
        <v>130</v>
      </c>
    </row>
    <row r="13" ht="15" spans="21:23">
      <c r="U13">
        <v>9</v>
      </c>
      <c r="V13" t="s">
        <v>131</v>
      </c>
      <c r="W13" s="35" t="s">
        <v>132</v>
      </c>
    </row>
    <row r="26" spans="8:8">
      <c r="H26" t="s">
        <v>133</v>
      </c>
    </row>
  </sheetData>
  <mergeCells count="1">
    <mergeCell ref="V4:W4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4"/>
  <sheetViews>
    <sheetView workbookViewId="0">
      <selection activeCell="E4" sqref="E4"/>
    </sheetView>
  </sheetViews>
  <sheetFormatPr defaultColWidth="9" defaultRowHeight="14.25" outlineLevelRow="3" outlineLevelCol="1"/>
  <cols>
    <col min="2" max="2" width="10" customWidth="1"/>
  </cols>
  <sheetData>
    <row r="2" spans="2:2">
      <c r="B2" t="s">
        <v>134</v>
      </c>
    </row>
    <row r="3" spans="1:2">
      <c r="A3">
        <v>1</v>
      </c>
      <c r="B3" t="s">
        <v>135</v>
      </c>
    </row>
    <row r="4" spans="1:2">
      <c r="A4">
        <v>2</v>
      </c>
      <c r="B4" t="s">
        <v>136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showGridLines="0" workbookViewId="0">
      <selection activeCell="D13" sqref="D13"/>
    </sheetView>
  </sheetViews>
  <sheetFormatPr defaultColWidth="9" defaultRowHeight="14.25" outlineLevelCol="4"/>
  <cols>
    <col min="1" max="1" width="11" customWidth="1"/>
    <col min="2" max="2" width="46.4416666666667" customWidth="1"/>
    <col min="3" max="3" width="22.2166666666667" customWidth="1"/>
    <col min="4" max="4" width="50.2166666666667" customWidth="1"/>
    <col min="5" max="5" width="16.2166666666667" customWidth="1"/>
  </cols>
  <sheetData>
    <row r="1" ht="23.25" spans="2:2">
      <c r="B1" s="12" t="s">
        <v>35</v>
      </c>
    </row>
    <row r="3" ht="15"/>
    <row r="4" spans="2:4">
      <c r="B4" s="13" t="s">
        <v>137</v>
      </c>
      <c r="C4" s="14" t="s">
        <v>37</v>
      </c>
      <c r="D4" t="s">
        <v>20</v>
      </c>
    </row>
    <row r="5" spans="2:4">
      <c r="B5" s="15"/>
      <c r="C5" s="16" t="s">
        <v>38</v>
      </c>
      <c r="D5" t="s">
        <v>20</v>
      </c>
    </row>
    <row r="6" spans="2:4">
      <c r="B6" s="15"/>
      <c r="C6" s="16" t="s">
        <v>39</v>
      </c>
      <c r="D6" t="s">
        <v>20</v>
      </c>
    </row>
    <row r="7" ht="15" spans="2:4">
      <c r="B7" s="17"/>
      <c r="C7" s="18" t="s">
        <v>40</v>
      </c>
      <c r="D7" s="19" t="s">
        <v>41</v>
      </c>
    </row>
    <row r="8" ht="15" spans="1:5">
      <c r="A8" t="s">
        <v>42</v>
      </c>
      <c r="B8" s="13" t="s">
        <v>43</v>
      </c>
      <c r="C8" s="14" t="s">
        <v>44</v>
      </c>
      <c r="D8" s="9" t="s">
        <v>20</v>
      </c>
      <c r="E8" s="20" t="s">
        <v>45</v>
      </c>
    </row>
    <row r="9" ht="15" spans="2:5">
      <c r="B9" s="17"/>
      <c r="C9" s="18" t="s">
        <v>46</v>
      </c>
      <c r="D9" s="9" t="s">
        <v>20</v>
      </c>
      <c r="E9" s="20"/>
    </row>
    <row r="10" ht="15" spans="1:5">
      <c r="A10" t="s">
        <v>42</v>
      </c>
      <c r="B10" s="13" t="s">
        <v>47</v>
      </c>
      <c r="C10" s="14" t="s">
        <v>48</v>
      </c>
      <c r="D10" s="9" t="s">
        <v>20</v>
      </c>
      <c r="E10" s="20"/>
    </row>
    <row r="11" ht="15" spans="2:5">
      <c r="B11" s="17"/>
      <c r="C11" s="18" t="s">
        <v>49</v>
      </c>
      <c r="D11" s="9" t="s">
        <v>20</v>
      </c>
      <c r="E11" s="20"/>
    </row>
    <row r="12" spans="2:3">
      <c r="B12" s="15"/>
      <c r="C12" s="16"/>
    </row>
    <row r="13" spans="2:3">
      <c r="B13" s="15"/>
      <c r="C13" s="16"/>
    </row>
    <row r="14" ht="15" spans="2:3">
      <c r="B14" s="17"/>
      <c r="C14" s="18"/>
    </row>
    <row r="15" ht="15"/>
    <row r="16" ht="15" spans="2:4">
      <c r="B16" s="21" t="s">
        <v>138</v>
      </c>
      <c r="C16" s="22"/>
      <c r="D16" s="23" t="s">
        <v>63</v>
      </c>
    </row>
    <row r="17" spans="1:5">
      <c r="A17" t="s">
        <v>20</v>
      </c>
      <c r="B17" s="24" t="s">
        <v>139</v>
      </c>
      <c r="D17" s="16" t="s">
        <v>64</v>
      </c>
      <c r="E17" t="s">
        <v>20</v>
      </c>
    </row>
    <row r="18" spans="1:5">
      <c r="A18" t="s">
        <v>20</v>
      </c>
      <c r="B18" s="24" t="s">
        <v>140</v>
      </c>
      <c r="D18" s="16" t="s">
        <v>65</v>
      </c>
      <c r="E18" t="s">
        <v>20</v>
      </c>
    </row>
    <row r="19" spans="2:4">
      <c r="B19" s="15"/>
      <c r="D19" s="16"/>
    </row>
    <row r="20" spans="2:4">
      <c r="B20" s="15"/>
      <c r="D20" s="16"/>
    </row>
    <row r="21" ht="15" spans="1:4">
      <c r="A21" t="s">
        <v>61</v>
      </c>
      <c r="B21" s="25" t="s">
        <v>62</v>
      </c>
      <c r="D21" s="16"/>
    </row>
    <row r="22" ht="15" spans="2:4">
      <c r="B22" s="17"/>
      <c r="C22" s="26"/>
      <c r="D22" s="18"/>
    </row>
    <row r="24" ht="15.75" spans="2:2">
      <c r="B24" s="11" t="s">
        <v>141</v>
      </c>
    </row>
    <row r="25" ht="15" spans="2:4">
      <c r="B25" s="21" t="s">
        <v>70</v>
      </c>
      <c r="C25" s="22"/>
      <c r="D25" s="23" t="s">
        <v>72</v>
      </c>
    </row>
    <row r="26" spans="1:4">
      <c r="A26" t="s">
        <v>2</v>
      </c>
      <c r="B26" s="27" t="s">
        <v>13</v>
      </c>
      <c r="C26" t="s">
        <v>69</v>
      </c>
      <c r="D26" s="28" t="s">
        <v>13</v>
      </c>
    </row>
    <row r="27" spans="1:4">
      <c r="A27" t="s">
        <v>7</v>
      </c>
      <c r="B27" s="15" t="s">
        <v>70</v>
      </c>
      <c r="C27" s="29" t="s">
        <v>71</v>
      </c>
      <c r="D27" s="16" t="s">
        <v>72</v>
      </c>
    </row>
    <row r="28" ht="15" spans="2:4">
      <c r="B28" s="17"/>
      <c r="C28" s="26"/>
      <c r="D28" s="18"/>
    </row>
    <row r="29" ht="15"/>
    <row r="30" ht="15" spans="2:4">
      <c r="B30" s="21" t="s">
        <v>75</v>
      </c>
      <c r="C30" s="22"/>
      <c r="D30" s="23" t="s">
        <v>76</v>
      </c>
    </row>
    <row r="31" ht="14.4" customHeight="1" spans="1:5">
      <c r="A31" t="s">
        <v>77</v>
      </c>
      <c r="B31" s="15" t="s">
        <v>78</v>
      </c>
      <c r="D31" s="16" t="s">
        <v>79</v>
      </c>
      <c r="E31" t="s">
        <v>142</v>
      </c>
    </row>
    <row r="32" spans="2:4">
      <c r="B32" s="15"/>
      <c r="D32" s="16" t="s">
        <v>80</v>
      </c>
    </row>
    <row r="33" spans="2:4">
      <c r="B33" s="15"/>
      <c r="D33" s="16" t="s">
        <v>81</v>
      </c>
    </row>
    <row r="34" ht="15" spans="1:4">
      <c r="A34" t="s">
        <v>69</v>
      </c>
      <c r="B34" s="30" t="s">
        <v>82</v>
      </c>
      <c r="D34" s="16" t="s">
        <v>83</v>
      </c>
    </row>
    <row r="35" ht="15" spans="2:4">
      <c r="B35" s="15" t="s">
        <v>84</v>
      </c>
      <c r="D35" s="16" t="s">
        <v>85</v>
      </c>
    </row>
    <row r="36" ht="15" spans="2:5">
      <c r="B36" s="15" t="s">
        <v>86</v>
      </c>
      <c r="D36" s="31" t="s">
        <v>143</v>
      </c>
      <c r="E36" t="s">
        <v>61</v>
      </c>
    </row>
    <row r="37" ht="15.75" spans="2:4">
      <c r="B37" s="15" t="s">
        <v>87</v>
      </c>
      <c r="D37" s="32"/>
    </row>
    <row r="38" spans="2:4">
      <c r="B38" s="15" t="s">
        <v>88</v>
      </c>
      <c r="D38" s="16"/>
    </row>
    <row r="39" spans="2:4">
      <c r="B39" s="15"/>
      <c r="D39" s="16"/>
    </row>
    <row r="40" ht="14.4" customHeight="1" spans="1:5">
      <c r="A40" t="s">
        <v>89</v>
      </c>
      <c r="B40" s="27" t="s">
        <v>90</v>
      </c>
      <c r="C40" t="s">
        <v>91</v>
      </c>
      <c r="D40" s="28" t="s">
        <v>92</v>
      </c>
      <c r="E40" t="s">
        <v>7</v>
      </c>
    </row>
    <row r="41" spans="1:5">
      <c r="A41" t="s">
        <v>89</v>
      </c>
      <c r="B41" s="27" t="s">
        <v>94</v>
      </c>
      <c r="C41" s="33"/>
      <c r="D41" s="16"/>
      <c r="E41" t="s">
        <v>7</v>
      </c>
    </row>
    <row r="42" ht="15" spans="2:4">
      <c r="B42" s="17"/>
      <c r="C42" s="26"/>
      <c r="D42" s="18"/>
    </row>
    <row r="44" ht="15"/>
    <row r="45" spans="1:5">
      <c r="A45" t="s">
        <v>98</v>
      </c>
      <c r="B45" s="13" t="s">
        <v>99</v>
      </c>
      <c r="C45" s="22"/>
      <c r="D45" s="14"/>
      <c r="E45" t="s">
        <v>7</v>
      </c>
    </row>
    <row r="46" spans="2:4">
      <c r="B46" s="15"/>
      <c r="D46" s="16"/>
    </row>
    <row r="47" spans="2:4">
      <c r="B47" s="15"/>
      <c r="D47" s="16"/>
    </row>
    <row r="48" spans="2:4">
      <c r="B48" s="15"/>
      <c r="D48" s="16"/>
    </row>
    <row r="49" ht="15" spans="2:4">
      <c r="B49" s="17"/>
      <c r="C49" s="26"/>
      <c r="D49" s="18"/>
    </row>
    <row r="51" ht="15"/>
    <row r="52" spans="1:5">
      <c r="A52" s="5" t="s">
        <v>100</v>
      </c>
      <c r="B52" s="13" t="s">
        <v>101</v>
      </c>
      <c r="C52" s="22"/>
      <c r="D52" s="14"/>
      <c r="E52" t="s">
        <v>7</v>
      </c>
    </row>
    <row r="53" spans="1:5">
      <c r="A53" s="5"/>
      <c r="B53" s="15" t="s">
        <v>102</v>
      </c>
      <c r="D53" s="16"/>
      <c r="E53" t="s">
        <v>7</v>
      </c>
    </row>
    <row r="54" spans="1:5">
      <c r="A54" s="5"/>
      <c r="B54" s="15" t="s">
        <v>103</v>
      </c>
      <c r="D54" s="16"/>
      <c r="E54" t="s">
        <v>7</v>
      </c>
    </row>
    <row r="55" spans="1:5">
      <c r="A55" s="5"/>
      <c r="B55" s="15" t="s">
        <v>144</v>
      </c>
      <c r="D55" s="16"/>
      <c r="E55" t="s">
        <v>7</v>
      </c>
    </row>
    <row r="56" ht="15" spans="1:5">
      <c r="A56" s="5"/>
      <c r="B56" s="17" t="s">
        <v>104</v>
      </c>
      <c r="C56" s="26"/>
      <c r="D56" s="18"/>
      <c r="E56" t="s">
        <v>7</v>
      </c>
    </row>
  </sheetData>
  <mergeCells count="2">
    <mergeCell ref="A52:A56"/>
    <mergeCell ref="E8:E11"/>
  </mergeCells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10"/>
  <sheetViews>
    <sheetView workbookViewId="0">
      <selection activeCell="H8" sqref="H8"/>
    </sheetView>
  </sheetViews>
  <sheetFormatPr defaultColWidth="9" defaultRowHeight="14.25"/>
  <cols>
    <col min="2" max="2" width="4.66666666666667" customWidth="1"/>
    <col min="3" max="3" width="25.5583333333333" customWidth="1"/>
    <col min="4" max="4" width="13.1083333333333" customWidth="1"/>
    <col min="5" max="5" width="9.55833333333333" customWidth="1"/>
    <col min="6" max="6" width="9.44166666666667" customWidth="1"/>
    <col min="7" max="7" width="24.1083333333333" customWidth="1"/>
  </cols>
  <sheetData>
    <row r="3" spans="3:10">
      <c r="C3" s="1" t="s">
        <v>145</v>
      </c>
      <c r="D3" s="1"/>
      <c r="E3" s="1"/>
      <c r="F3" s="1"/>
      <c r="G3" s="2" t="s">
        <v>146</v>
      </c>
      <c r="H3" s="2"/>
      <c r="I3" s="2"/>
      <c r="J3" s="2"/>
    </row>
    <row r="4" ht="15" spans="3:10">
      <c r="C4" s="3" t="s">
        <v>147</v>
      </c>
      <c r="D4" s="3" t="s">
        <v>148</v>
      </c>
      <c r="E4" s="3" t="s">
        <v>149</v>
      </c>
      <c r="F4" s="3" t="s">
        <v>150</v>
      </c>
      <c r="G4" s="4" t="s">
        <v>151</v>
      </c>
      <c r="H4" s="4" t="s">
        <v>152</v>
      </c>
      <c r="I4" s="4" t="s">
        <v>153</v>
      </c>
      <c r="J4" s="4" t="s">
        <v>154</v>
      </c>
    </row>
    <row r="5" ht="15" spans="1:10">
      <c r="A5" s="5" t="s">
        <v>155</v>
      </c>
      <c r="B5">
        <v>1</v>
      </c>
      <c r="C5" s="6" t="s">
        <v>156</v>
      </c>
      <c r="D5" s="7">
        <v>1000</v>
      </c>
      <c r="E5" s="8" t="s">
        <v>157</v>
      </c>
      <c r="F5" s="7">
        <v>3926.6</v>
      </c>
      <c r="G5" s="6" t="s">
        <v>158</v>
      </c>
      <c r="H5" s="6">
        <v>20</v>
      </c>
      <c r="I5" s="6">
        <v>15</v>
      </c>
      <c r="J5" s="10">
        <f>+I5+H5</f>
        <v>35</v>
      </c>
    </row>
    <row r="6" ht="15" spans="1:10">
      <c r="A6" s="5"/>
      <c r="B6">
        <v>2</v>
      </c>
      <c r="C6" s="6" t="s">
        <v>159</v>
      </c>
      <c r="D6" s="7">
        <v>800</v>
      </c>
      <c r="E6" s="8" t="s">
        <v>160</v>
      </c>
      <c r="F6" s="7">
        <v>3926.5</v>
      </c>
      <c r="G6" s="6" t="s">
        <v>158</v>
      </c>
      <c r="H6" s="6">
        <v>20</v>
      </c>
      <c r="I6" s="6">
        <v>35</v>
      </c>
      <c r="J6" s="10">
        <f t="shared" ref="J6:J7" si="0">+I6+H6</f>
        <v>55</v>
      </c>
    </row>
    <row r="7" ht="15" spans="1:10">
      <c r="A7" s="5"/>
      <c r="B7">
        <v>3</v>
      </c>
      <c r="C7" s="6" t="s">
        <v>161</v>
      </c>
      <c r="D7" s="7">
        <v>550</v>
      </c>
      <c r="E7" s="8" t="s">
        <v>162</v>
      </c>
      <c r="F7" s="7">
        <v>3926.85</v>
      </c>
      <c r="G7" s="6" t="s">
        <v>158</v>
      </c>
      <c r="H7" s="6">
        <v>10</v>
      </c>
      <c r="I7" s="6">
        <v>20</v>
      </c>
      <c r="J7" s="10">
        <f t="shared" si="0"/>
        <v>30</v>
      </c>
    </row>
    <row r="8" ht="15" spans="1:10">
      <c r="A8" s="5"/>
      <c r="E8" s="9" t="s">
        <v>163</v>
      </c>
      <c r="G8" s="10" t="s">
        <v>154</v>
      </c>
      <c r="H8" s="10">
        <f>SUM(H5:H7)</f>
        <v>50</v>
      </c>
      <c r="I8" s="10">
        <f t="shared" ref="I8:J8" si="1">SUM(I5:I7)</f>
        <v>70</v>
      </c>
      <c r="J8" s="10">
        <f t="shared" si="1"/>
        <v>120</v>
      </c>
    </row>
    <row r="10" ht="15" spans="3:3">
      <c r="C10" s="11" t="s">
        <v>164</v>
      </c>
    </row>
  </sheetData>
  <mergeCells count="2">
    <mergeCell ref="C3:F3"/>
    <mergeCell ref="A5:A8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Client Contact Form</vt:lpstr>
      <vt:lpstr>Tracking</vt:lpstr>
      <vt:lpstr>Customer Form_Freight</vt:lpstr>
      <vt:lpstr>Freights Page</vt:lpstr>
      <vt:lpstr>Presentation of freight details</vt:lpstr>
      <vt:lpstr>Customs Clearing</vt:lpstr>
      <vt:lpstr>Customer Form_Clearing</vt:lpstr>
      <vt:lpstr>Form for Duty Calc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Ruvako Mabureki</dc:creator>
  <cp:lastModifiedBy>admin</cp:lastModifiedBy>
  <dcterms:created xsi:type="dcterms:W3CDTF">2024-05-12T09:36:00Z</dcterms:created>
  <dcterms:modified xsi:type="dcterms:W3CDTF">2024-05-22T13:01:05Z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E58BEDBC0D6C477885BFBEFE522D6D31_12</vt:lpwstr>
  </property>
  <property fmtid="{D5CDD505-2E9C-101B-9397-08002B2CF9AE}" pid="3" name="KSOProductBuildVer">
    <vt:lpwstr>1033-12.2.0.16909</vt:lpwstr>
  </property>
</Properties>
</file>